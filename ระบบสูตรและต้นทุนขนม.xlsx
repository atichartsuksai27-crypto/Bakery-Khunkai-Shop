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วิธีใช้" sheetId="1" state="visible" r:id="rId1"/>
    <sheet name="วัตถุดิบ" sheetId="2" state="visible" r:id="rId2"/>
    <sheet name="สูตร_เค้กกล้วยหอม" sheetId="3" state="visible" r:id="rId3"/>
    <sheet name="ตั้งราคาขาย" sheetId="4" state="visible" r:id="rId4"/>
    <sheet name="แบบฟอร์มสูตรใหม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-#,##0.00;&quot;-&quot;"/>
    <numFmt numFmtId="165" formatCode="0.0000"/>
    <numFmt numFmtId="166" formatCode="#,##0.#;-#,##0.#;&quot;&quot;"/>
    <numFmt numFmtId="167" formatCode="#,##0;-#,##0;&quot;-&quot;"/>
  </numFmts>
  <fonts count="13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b val="1"/>
      <color rgb="001F3864"/>
      <sz val="10"/>
    </font>
    <font>
      <name val="Tahoma"/>
      <color rgb="00000000"/>
      <sz val="10"/>
    </font>
    <font>
      <name val="Tahoma"/>
      <color rgb="00808080"/>
      <sz val="9"/>
    </font>
    <font>
      <name val="Tahoma"/>
      <color rgb="000000FF"/>
      <sz val="10"/>
    </font>
    <font>
      <name val="Tahoma"/>
      <b val="1"/>
      <color rgb="00000000"/>
      <sz val="10"/>
    </font>
    <font>
      <name val="Tahoma"/>
      <color rgb="00000000"/>
      <sz val="9"/>
    </font>
    <font>
      <name val="Tahoma"/>
      <b val="1"/>
      <color rgb="00808080"/>
      <sz val="9"/>
    </font>
    <font>
      <name val="Tahoma"/>
      <b val="1"/>
      <color rgb="000000FF"/>
      <sz val="10"/>
    </font>
    <font>
      <name val="Tahoma"/>
      <color rgb="00808080"/>
      <sz val="10"/>
    </font>
    <font>
      <name val="Tahoma"/>
      <color rgb="00008000"/>
      <sz val="9"/>
    </font>
    <font>
      <name val="Tahoma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right" vertical="center"/>
    </xf>
    <xf numFmtId="164" fontId="5" fillId="4" borderId="2" pivotButton="0" quotePrefix="0" xfId="0"/>
    <xf numFmtId="165" fontId="6" fillId="0" borderId="2" pivotButton="0" quotePrefix="0" xfId="0"/>
    <xf numFmtId="0" fontId="4" fillId="0" borderId="2" applyAlignment="1" pivotButton="0" quotePrefix="0" xfId="0">
      <alignment vertical="center" wrapText="1"/>
    </xf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7" fillId="0" borderId="2" pivotButton="0" quotePrefix="0" xfId="0"/>
    <xf numFmtId="0" fontId="6" fillId="0" borderId="0" pivotButton="0" quotePrefix="0" xfId="0"/>
    <xf numFmtId="3" fontId="5" fillId="4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9" fillId="4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166" fontId="5" fillId="4" borderId="2" applyAlignment="1" pivotButton="0" quotePrefix="0" xfId="0">
      <alignment horizontal="right" vertical="center"/>
    </xf>
    <xf numFmtId="165" fontId="12" fillId="0" borderId="2" pivotButton="0" quotePrefix="0" xfId="0"/>
    <xf numFmtId="164" fontId="6" fillId="0" borderId="2" pivotButton="0" quotePrefix="0" xfId="0"/>
    <xf numFmtId="166" fontId="3" fillId="0" borderId="2" applyAlignment="1" pivotButton="0" quotePrefix="0" xfId="0">
      <alignment horizontal="right" vertical="center"/>
    </xf>
    <xf numFmtId="0" fontId="3" fillId="5" borderId="2" pivotButton="0" quotePrefix="0" xfId="0"/>
    <xf numFmtId="0" fontId="6" fillId="5" borderId="2" pivotButton="0" quotePrefix="0" xfId="0"/>
    <xf numFmtId="164" fontId="6" fillId="5" borderId="2" pivotButton="0" quotePrefix="0" xfId="0"/>
    <xf numFmtId="0" fontId="3" fillId="0" borderId="2" pivotButton="0" quotePrefix="0" xfId="0"/>
    <xf numFmtId="0" fontId="6" fillId="0" borderId="2" pivotButton="0" quotePrefix="0" xfId="0"/>
    <xf numFmtId="3" fontId="6" fillId="0" borderId="2" pivotButton="0" quotePrefix="0" xfId="0"/>
    <xf numFmtId="3" fontId="3" fillId="0" borderId="2" applyAlignment="1" pivotButton="0" quotePrefix="0" xfId="0">
      <alignment horizontal="right" vertical="center"/>
    </xf>
    <xf numFmtId="164" fontId="12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 wrapText="1"/>
    </xf>
    <xf numFmtId="3" fontId="12" fillId="0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9" fontId="6" fillId="5" borderId="2" applyAlignment="1" pivotButton="0" quotePrefix="0" xfId="0">
      <alignment horizontal="right" vertical="center"/>
    </xf>
    <xf numFmtId="3" fontId="6" fillId="5" borderId="2" applyAlignment="1" pivotButton="0" quotePrefix="0" xfId="0">
      <alignment horizontal="right" vertical="center"/>
    </xf>
    <xf numFmtId="0" fontId="2" fillId="0" borderId="0" pivotButton="0" quotePrefix="0" xfId="0"/>
    <xf numFmtId="9" fontId="5" fillId="4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right" vertical="center"/>
    </xf>
    <xf numFmtId="167" fontId="6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จากสมุด</author>
  </authors>
  <commentList>
    <comment ref="D4" authorId="0" shapeId="0">
      <text>
        <t>ราคาทุนจากสมุดจดสูตร: 33 บาท/กก.</t>
      </text>
    </comment>
    <comment ref="D7" authorId="0" shapeId="0">
      <text>
        <t>ในสมุดไม่ได้เขียนราคากรดมะนาวไว้ จึงใส่ 0 และตั้งคอลัมน์ 'คิดต้นทุน' = N</t>
      </text>
    </comment>
    <comment ref="D11" authorId="0" shapeId="0">
      <text>
        <t>สมุดเขียน 1,510 / 5 kg</t>
      </text>
    </comment>
  </commentList>
</comments>
</file>

<file path=xl/comments/comment2.xml><?xml version="1.0" encoding="utf-8"?>
<comments xmlns="http://schemas.openxmlformats.org/spreadsheetml/2006/main">
  <authors>
    <author>ข้อสมมติ</author>
  </authors>
  <commentList>
    <comment ref="C3" authorId="0" shapeId="0">
      <text>
        <t>ประมาณจากบันทึกท้ายตารางในสมุด (6 บาท/ชิ้น): 150.04 ÷ 6 ≈ 25 ชิ้น
ถ้าจำนวนชิ้นจริงไม่ใช่ 25 แก้ตัวเลขช่องนี้ได้เลย</t>
      </text>
    </comment>
  </commentList>
</comments>
</file>

<file path=xl/comments/comment3.xml><?xml version="1.0" encoding="utf-8"?>
<comments xmlns="http://schemas.openxmlformats.org/spreadsheetml/2006/main">
  <authors>
    <author>ข้อสมมติ</author>
  </authors>
  <commentList>
    <comment ref="C3" authorId="0" shapeId="0">
      <text>
        <t>ประมาณจากบันทึกท้ายตารางในสมุด (6 บาท/ชิ้น): 150.04 ÷ 6 ≈ 25 ชิ้น
ถ้าจำนวนชิ้นจริงไม่ใช่ 25 แก้ตัวเลขช่องนี้ได้เลย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6" customWidth="1" min="3" max="3"/>
  </cols>
  <sheetData>
    <row r="1" ht="26" customHeight="1">
      <c r="B1" s="1" t="inlineStr">
        <is>
          <t xml:space="preserve">  ระบบสูตร &amp; ต้นทุนขนม — คู่มือใช้งาน</t>
        </is>
      </c>
    </row>
    <row r="3" ht="34" customHeight="1">
      <c r="B3" s="2" t="inlineStr">
        <is>
          <t>ไฟล์นี้คืออะไร</t>
        </is>
      </c>
      <c r="C3" s="3" t="inlineStr">
        <is>
          <t>แปลงตารางในสมุดจดสูตร (เค้กกล้วยหอม) เป็น Excel ที่คำนวณให้อัตโนมัติ เปลี่ยนราคาวัตถุดิบครั้งเดียว ต้นทุนทุกขนาดรอบผลิตและราคาขายจะอัปเดตตามทันที</t>
        </is>
      </c>
    </row>
    <row r="4" ht="34" customHeight="1">
      <c r="B4" s="2" t="inlineStr">
        <is>
          <t>สีที่ใช้</t>
        </is>
      </c>
      <c r="C4" s="3" t="inlineStr">
        <is>
          <t>ช่องพื้นเหลือง = ช่องที่คุณกรอกเอง   |   ตัวเลขสีดำ = สูตรคำนวณ (อย่าลบ)   |   ตัวหนังสือสีเขียว = ดึงค่าจากชีตอื่น</t>
        </is>
      </c>
    </row>
    <row r="5" ht="34" customHeight="1">
      <c r="B5" s="2" t="inlineStr">
        <is>
          <t>1. ชีต 'วัตถุดิบ'</t>
        </is>
      </c>
      <c r="C5" s="3" t="inlineStr">
        <is>
          <t>คลังราคาวัตถุดิบ กรอก ขนาดบรรจุ + ราคาที่ซื้อ แล้วช่อง 'ต้นทุน/หน่วย' จะคิดให้เอง เช่น เนยสด 5,000 กรัม 1,510 บาท = 0.302 บาท/กรัม   ★ ของขึ้นราคาให้แก้ที่ชีตนี้ที่เดียว</t>
        </is>
      </c>
    </row>
    <row r="6" ht="34" customHeight="1">
      <c r="B6" s="2" t="inlineStr">
        <is>
          <t>2. ชีต 'สูตร_เค้กกล้วยหอม'</t>
        </is>
      </c>
      <c r="C6" s="3" t="inlineStr">
        <is>
          <t>ตารางเดียวกับในสมุด กรอกแค่ 'ปริมาณสูตรฐาน (ไข่ 6 ฟอง)' ที่คอลัมน์ D ส่วนคอลัมน์ ×0.5 ถึง ×5 จะคูณปริมาณให้เองทุกช่อง พร้อมต้นทุนรวมและต้นทุนต่อชิ้นของแต่ละรอบ</t>
        </is>
      </c>
    </row>
    <row r="7" ht="34" customHeight="1">
      <c r="B7" s="2" t="inlineStr">
        <is>
          <t xml:space="preserve">   คอลัมน์ 'คิดต้นทุน'</t>
        </is>
      </c>
      <c r="C7" s="3" t="inlineStr">
        <is>
          <t>ใส่ Y = เอาไปรวมเป็นต้นทุน, N = ไม่รวม (ตอนนี้ตั้ง N ไว้ที่ 'กล้วยหอมสุก' และ 'กรดมะนาว' ให้ตรงกับยอดรวม 150.03 บาท ในสมุด ถ้าอยากคิดกล้วยด้วยก็เปลี่ยนเป็น Y)</t>
        </is>
      </c>
    </row>
    <row r="8" ht="34" customHeight="1">
      <c r="B8" s="2" t="inlineStr">
        <is>
          <t>3. ชีต 'ตั้งราคาขาย'</t>
        </is>
      </c>
      <c r="C8" s="3" t="inlineStr">
        <is>
          <t>บวกค่าบรรจุภัณฑ์ ค่าแรง ค่าแก๊ส/ไฟ เข้าไป แล้วดูกำไรต่อชิ้น % กำไร และราคาแนะนำที่บวกกำไรระดับต่าง ๆ</t>
        </is>
      </c>
    </row>
    <row r="9" ht="34" customHeight="1">
      <c r="B9" s="2" t="inlineStr">
        <is>
          <t>4. ชีต 'แบบฟอร์มสูตรใหม่'</t>
        </is>
      </c>
      <c r="C9" s="3" t="inlineStr">
        <is>
          <t>อยากเพิ่มขนมตัวอื่น (บราวนี่ คุกกี้ ฯลฯ) ให้คลิกขวาที่แท็บนี้ &gt; Move or Copy &gt; ติ๊ก Create a copy แล้วเปลี่ยนชื่อแท็บ จากนั้นเลือกวัตถุดิบจากช่องดรอปดาวน์ได้เลย</t>
        </is>
      </c>
    </row>
    <row r="10" ht="34" customHeight="1">
      <c r="B10" s="2" t="inlineStr">
        <is>
          <t>เพิ่มวัตถุดิบใหม่</t>
        </is>
      </c>
      <c r="C10" s="3" t="inlineStr">
        <is>
          <t>พิมพ์ต่อในชีต 'วัตถุดิบ' แถวว่าง (ถึงแถว 33) ชื่อใหม่จะโผล่ในดรอปดาวน์ของทุกสูตรทันที</t>
        </is>
      </c>
    </row>
    <row r="11" ht="34" customHeight="1">
      <c r="B11" s="2" t="inlineStr">
        <is>
          <t>หมายเหตุจากสมุด</t>
        </is>
      </c>
      <c r="C11" s="3" t="inlineStr">
        <is>
          <t>บรรทัดล่างตาราง: “เค้กกล้วยหอม ต้นทุนดิบ 4 ชิ้น 40.- ต้นทุน 24 บาท 6 บาทต่อชิ้น” → ตั้งค่าเริ่มต้นในไฟล์เป็น 25 ชิ้น/สูตรฐาน (ได้ต้นทุน ≈ 6 บาท/ชิ้น) และราคาขาย 10 บาท/ชิ้น (4 ชิ้น 40 บาท) ถ้าจำนวนชิ้นจริงไม่ใช่ 25 ให้แก้ที่ช่องเหลืองในชีตสูตร</t>
        </is>
      </c>
    </row>
    <row r="12" ht="34" customHeight="1">
      <c r="B12" s="2" t="inlineStr">
        <is>
          <t>ตัวเลขที่ควรตรวจ</t>
        </is>
      </c>
      <c r="C12" s="3" t="inlineStr">
        <is>
          <t>1) ชื่อวัตถุดิบแถวที่ 2 ในสมุดอ่านไม่ชัด ใส่ไว้ว่า 'แป้งข้าว' (36 บาท/กก.)   2) 'กรดมะนาว' ในสมุดไม่ได้เขียนราคาไว้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14" customWidth="1" min="5" max="5"/>
    <col width="46" customWidth="1" min="6" max="6"/>
  </cols>
  <sheetData>
    <row r="1" ht="26" customHeight="1">
      <c r="A1" s="1" t="inlineStr">
        <is>
          <t xml:space="preserve">  ราคาวัตถุดิบ (แก้ราคาที่ชีตนี้ที่เดียว — ทุกสูตรอัปเดตตาม)</t>
        </is>
      </c>
    </row>
    <row r="2">
      <c r="A2" s="4" t="inlineStr">
        <is>
          <t>ช่องพื้นเหลือง = กรอกเอง   |   คอลัมน์ E คำนวณอัตโนมัติ = ราคาที่ซื้อ ÷ ขนาดบรรจุ</t>
        </is>
      </c>
    </row>
    <row r="3" ht="34" customHeight="1">
      <c r="A3" s="5" t="inlineStr">
        <is>
          <t>ชื่อวัตถุดิบ</t>
        </is>
      </c>
      <c r="B3" s="5" t="inlineStr">
        <is>
          <t>หน่วยที่ใช้ในสูตร</t>
        </is>
      </c>
      <c r="C3" s="5" t="inlineStr">
        <is>
          <t>ขนาดบรรจุที่ซื้อ
(ตามหน่วยในสูตร)</t>
        </is>
      </c>
      <c r="D3" s="5" t="inlineStr">
        <is>
          <t>ราคาที่ซื้อ
(บาท)</t>
        </is>
      </c>
      <c r="E3" s="5" t="inlineStr">
        <is>
          <t>ต้นทุนต่อหน่วย
(บาท)</t>
        </is>
      </c>
      <c r="F3" s="5" t="inlineStr">
        <is>
          <t>หมายเหตุ</t>
        </is>
      </c>
    </row>
    <row r="4">
      <c r="A4" s="6" t="inlineStr">
        <is>
          <t>แป้งเค้ก</t>
        </is>
      </c>
      <c r="B4" s="7" t="inlineStr">
        <is>
          <t>กรัม</t>
        </is>
      </c>
      <c r="C4" s="8" t="n">
        <v>1000</v>
      </c>
      <c r="D4" s="9" t="n">
        <v>33</v>
      </c>
      <c r="E4" s="10">
        <f>IF(OR($A4="",$C4=0),"",$D4/$C4)</f>
        <v/>
      </c>
      <c r="F4" s="11" t="inlineStr">
        <is>
          <t>33 บาท/กก.</t>
        </is>
      </c>
    </row>
    <row r="5">
      <c r="A5" s="6" t="inlineStr">
        <is>
          <t>แป้งข้าว</t>
        </is>
      </c>
      <c r="B5" s="7" t="inlineStr">
        <is>
          <t>กรัม</t>
        </is>
      </c>
      <c r="C5" s="8" t="n">
        <v>1000</v>
      </c>
      <c r="D5" s="9" t="n">
        <v>36</v>
      </c>
      <c r="E5" s="10">
        <f>IF(OR($A5="",$C5=0),"",$D5/$C5)</f>
        <v/>
      </c>
      <c r="F5" s="11" t="inlineStr">
        <is>
          <t>36 บาท/กก. (ชื่อในสมุดอ่านไม่ชัด โปรดตรวจสอบ)</t>
        </is>
      </c>
    </row>
    <row r="6">
      <c r="A6" s="6" t="inlineStr">
        <is>
          <t>น้ำตาลทราย</t>
        </is>
      </c>
      <c r="B6" s="7" t="inlineStr">
        <is>
          <t>กรัม</t>
        </is>
      </c>
      <c r="C6" s="8" t="n">
        <v>1000</v>
      </c>
      <c r="D6" s="9" t="n">
        <v>27</v>
      </c>
      <c r="E6" s="10">
        <f>IF(OR($A6="",$C6=0),"",$D6/$C6)</f>
        <v/>
      </c>
      <c r="F6" s="11" t="inlineStr">
        <is>
          <t>27 บาท/กก.</t>
        </is>
      </c>
    </row>
    <row r="7">
      <c r="A7" s="6" t="inlineStr">
        <is>
          <t>กรดมะนาว</t>
        </is>
      </c>
      <c r="B7" s="7" t="inlineStr">
        <is>
          <t>กรัม</t>
        </is>
      </c>
      <c r="C7" s="8" t="n">
        <v>1000</v>
      </c>
      <c r="D7" s="9" t="n">
        <v>0</v>
      </c>
      <c r="E7" s="10">
        <f>IF(OR($A7="",$C7=0),"",$D7/$C7)</f>
        <v/>
      </c>
      <c r="F7" s="11" t="inlineStr">
        <is>
          <t>ในสมุดไม่ได้ระบุราคา — ใส่ราคาแล้วเปลี่ยนเป็น Y ได้</t>
        </is>
      </c>
    </row>
    <row r="8">
      <c r="A8" s="6" t="inlineStr">
        <is>
          <t>ไข่ไก่</t>
        </is>
      </c>
      <c r="B8" s="7" t="inlineStr">
        <is>
          <t>ฟอง</t>
        </is>
      </c>
      <c r="C8" s="8" t="n">
        <v>1</v>
      </c>
      <c r="D8" s="9" t="n">
        <v>5</v>
      </c>
      <c r="E8" s="10">
        <f>IF(OR($A8="",$C8=0),"",$D8/$C8)</f>
        <v/>
      </c>
      <c r="F8" s="11" t="inlineStr">
        <is>
          <t>5 บาท/ฟอง</t>
        </is>
      </c>
    </row>
    <row r="9">
      <c r="A9" s="6" t="inlineStr">
        <is>
          <t>น้ำมันรำข้าว</t>
        </is>
      </c>
      <c r="B9" s="7" t="inlineStr">
        <is>
          <t>กรัม</t>
        </is>
      </c>
      <c r="C9" s="8" t="n">
        <v>5000</v>
      </c>
      <c r="D9" s="9" t="n">
        <v>345</v>
      </c>
      <c r="E9" s="10">
        <f>IF(OR($A9="",$C9=0),"",$D9/$C9)</f>
        <v/>
      </c>
      <c r="F9" s="11" t="inlineStr">
        <is>
          <t>345 บาท/5 กก.</t>
        </is>
      </c>
    </row>
    <row r="10">
      <c r="A10" s="6" t="inlineStr">
        <is>
          <t>เนยสด</t>
        </is>
      </c>
      <c r="B10" s="7" t="inlineStr">
        <is>
          <t>กรัม</t>
        </is>
      </c>
      <c r="C10" s="8" t="n">
        <v>5000</v>
      </c>
      <c r="D10" s="9" t="n">
        <v>1510</v>
      </c>
      <c r="E10" s="10">
        <f>IF(OR($A10="",$C10=0),"",$D10/$C10)</f>
        <v/>
      </c>
      <c r="F10" s="11" t="inlineStr">
        <is>
          <t>1,510 บาท/5 กก.</t>
        </is>
      </c>
    </row>
    <row r="11">
      <c r="A11" s="6" t="inlineStr">
        <is>
          <t>กล้วยหอมสุก</t>
        </is>
      </c>
      <c r="B11" s="7" t="inlineStr">
        <is>
          <t>กรัม</t>
        </is>
      </c>
      <c r="C11" s="8" t="n">
        <v>1000</v>
      </c>
      <c r="D11" s="9" t="n">
        <v>45</v>
      </c>
      <c r="E11" s="10">
        <f>IF(OR($A11="",$C11=0),"",$D11/$C11)</f>
        <v/>
      </c>
      <c r="F11" s="11" t="inlineStr">
        <is>
          <t>45 บาท/กก. — ในสมุดไม่ได้คิดรวมในต้นทุน</t>
        </is>
      </c>
    </row>
    <row r="12">
      <c r="A12" s="6" t="inlineStr">
        <is>
          <t>ผงฟู</t>
        </is>
      </c>
      <c r="B12" s="7" t="inlineStr">
        <is>
          <t>กรัม</t>
        </is>
      </c>
      <c r="C12" s="8" t="n">
        <v>1000</v>
      </c>
      <c r="D12" s="9" t="n">
        <v>129</v>
      </c>
      <c r="E12" s="10">
        <f>IF(OR($A12="",$C12=0),"",$D12/$C12)</f>
        <v/>
      </c>
      <c r="F12" s="11" t="inlineStr">
        <is>
          <t>129 บาท/กก.</t>
        </is>
      </c>
    </row>
    <row r="13">
      <c r="A13" s="6" t="inlineStr">
        <is>
          <t>เกลือ</t>
        </is>
      </c>
      <c r="B13" s="7" t="inlineStr">
        <is>
          <t>กรัม</t>
        </is>
      </c>
      <c r="C13" s="8" t="n">
        <v>1000</v>
      </c>
      <c r="D13" s="9" t="n">
        <v>16</v>
      </c>
      <c r="E13" s="10">
        <f>IF(OR($A13="",$C13=0),"",$D13/$C13)</f>
        <v/>
      </c>
      <c r="F13" s="11" t="inlineStr">
        <is>
          <t>16 บาท/กก.</t>
        </is>
      </c>
    </row>
    <row r="14">
      <c r="A14" s="6" t="inlineStr">
        <is>
          <t>เบกกิ้งโซดา</t>
        </is>
      </c>
      <c r="B14" s="7" t="inlineStr">
        <is>
          <t>กรัม</t>
        </is>
      </c>
      <c r="C14" s="8" t="n">
        <v>1000</v>
      </c>
      <c r="D14" s="9" t="n">
        <v>110</v>
      </c>
      <c r="E14" s="10">
        <f>IF(OR($A14="",$C14=0),"",$D14/$C14)</f>
        <v/>
      </c>
      <c r="F14" s="11" t="inlineStr">
        <is>
          <t>110 บาท/กก.</t>
        </is>
      </c>
    </row>
    <row r="15">
      <c r="A15" s="6" t="inlineStr">
        <is>
          <t>กลิ่นกล้วย</t>
        </is>
      </c>
      <c r="B15" s="7" t="inlineStr">
        <is>
          <t>ครั้ง</t>
        </is>
      </c>
      <c r="C15" s="8" t="n">
        <v>1</v>
      </c>
      <c r="D15" s="9" t="n">
        <v>5</v>
      </c>
      <c r="E15" s="10">
        <f>IF(OR($A15="",$C15=0),"",$D15/$C15)</f>
        <v/>
      </c>
      <c r="F15" s="11" t="inlineStr">
        <is>
          <t>คิดเหมา 5 บาท/สูตร</t>
        </is>
      </c>
    </row>
    <row r="16">
      <c r="A16" s="12" t="n"/>
      <c r="B16" s="12" t="n"/>
      <c r="C16" s="13" t="n"/>
      <c r="D16" s="14" t="n"/>
      <c r="E16" s="10">
        <f>IF(OR($A16="",$C16=0),"",$D16/$C16)</f>
        <v/>
      </c>
      <c r="F16" s="15" t="n"/>
    </row>
    <row r="17">
      <c r="A17" s="12" t="n"/>
      <c r="B17" s="12" t="n"/>
      <c r="C17" s="13" t="n"/>
      <c r="D17" s="14" t="n"/>
      <c r="E17" s="10">
        <f>IF(OR($A17="",$C17=0),"",$D17/$C17)</f>
        <v/>
      </c>
      <c r="F17" s="15" t="n"/>
    </row>
    <row r="18">
      <c r="A18" s="12" t="n"/>
      <c r="B18" s="12" t="n"/>
      <c r="C18" s="13" t="n"/>
      <c r="D18" s="14" t="n"/>
      <c r="E18" s="10">
        <f>IF(OR($A18="",$C18=0),"",$D18/$C18)</f>
        <v/>
      </c>
      <c r="F18" s="15" t="n"/>
    </row>
    <row r="19">
      <c r="A19" s="12" t="n"/>
      <c r="B19" s="12" t="n"/>
      <c r="C19" s="13" t="n"/>
      <c r="D19" s="14" t="n"/>
      <c r="E19" s="10">
        <f>IF(OR($A19="",$C19=0),"",$D19/$C19)</f>
        <v/>
      </c>
      <c r="F19" s="15" t="n"/>
    </row>
    <row r="20">
      <c r="A20" s="12" t="n"/>
      <c r="B20" s="12" t="n"/>
      <c r="C20" s="13" t="n"/>
      <c r="D20" s="14" t="n"/>
      <c r="E20" s="10">
        <f>IF(OR($A20="",$C20=0),"",$D20/$C20)</f>
        <v/>
      </c>
      <c r="F20" s="15" t="n"/>
    </row>
    <row r="21">
      <c r="A21" s="12" t="n"/>
      <c r="B21" s="12" t="n"/>
      <c r="C21" s="13" t="n"/>
      <c r="D21" s="14" t="n"/>
      <c r="E21" s="10">
        <f>IF(OR($A21="",$C21=0),"",$D21/$C21)</f>
        <v/>
      </c>
      <c r="F21" s="15" t="n"/>
    </row>
    <row r="22">
      <c r="A22" s="12" t="n"/>
      <c r="B22" s="12" t="n"/>
      <c r="C22" s="13" t="n"/>
      <c r="D22" s="14" t="n"/>
      <c r="E22" s="10">
        <f>IF(OR($A22="",$C22=0),"",$D22/$C22)</f>
        <v/>
      </c>
      <c r="F22" s="15" t="n"/>
    </row>
    <row r="23">
      <c r="A23" s="12" t="n"/>
      <c r="B23" s="12" t="n"/>
      <c r="C23" s="13" t="n"/>
      <c r="D23" s="14" t="n"/>
      <c r="E23" s="10">
        <f>IF(OR($A23="",$C23=0),"",$D23/$C23)</f>
        <v/>
      </c>
      <c r="F23" s="15" t="n"/>
    </row>
    <row r="24">
      <c r="A24" s="12" t="n"/>
      <c r="B24" s="12" t="n"/>
      <c r="C24" s="13" t="n"/>
      <c r="D24" s="14" t="n"/>
      <c r="E24" s="10">
        <f>IF(OR($A24="",$C24=0),"",$D24/$C24)</f>
        <v/>
      </c>
      <c r="F24" s="15" t="n"/>
    </row>
    <row r="25">
      <c r="A25" s="12" t="n"/>
      <c r="B25" s="12" t="n"/>
      <c r="C25" s="13" t="n"/>
      <c r="D25" s="14" t="n"/>
      <c r="E25" s="10">
        <f>IF(OR($A25="",$C25=0),"",$D25/$C25)</f>
        <v/>
      </c>
      <c r="F25" s="15" t="n"/>
    </row>
    <row r="26">
      <c r="A26" s="12" t="n"/>
      <c r="B26" s="12" t="n"/>
      <c r="C26" s="13" t="n"/>
      <c r="D26" s="14" t="n"/>
      <c r="E26" s="10">
        <f>IF(OR($A26="",$C26=0),"",$D26/$C26)</f>
        <v/>
      </c>
      <c r="F26" s="15" t="n"/>
    </row>
    <row r="27">
      <c r="A27" s="12" t="n"/>
      <c r="B27" s="12" t="n"/>
      <c r="C27" s="13" t="n"/>
      <c r="D27" s="14" t="n"/>
      <c r="E27" s="10">
        <f>IF(OR($A27="",$C27=0),"",$D27/$C27)</f>
        <v/>
      </c>
      <c r="F27" s="15" t="n"/>
    </row>
    <row r="28">
      <c r="A28" s="12" t="n"/>
      <c r="B28" s="12" t="n"/>
      <c r="C28" s="13" t="n"/>
      <c r="D28" s="14" t="n"/>
      <c r="E28" s="10">
        <f>IF(OR($A28="",$C28=0),"",$D28/$C28)</f>
        <v/>
      </c>
      <c r="F28" s="15" t="n"/>
    </row>
    <row r="29">
      <c r="A29" s="12" t="n"/>
      <c r="B29" s="12" t="n"/>
      <c r="C29" s="13" t="n"/>
      <c r="D29" s="14" t="n"/>
      <c r="E29" s="10">
        <f>IF(OR($A29="",$C29=0),"",$D29/$C29)</f>
        <v/>
      </c>
      <c r="F29" s="15" t="n"/>
    </row>
    <row r="30">
      <c r="A30" s="12" t="n"/>
      <c r="B30" s="12" t="n"/>
      <c r="C30" s="13" t="n"/>
      <c r="D30" s="14" t="n"/>
      <c r="E30" s="10">
        <f>IF(OR($A30="",$C30=0),"",$D30/$C30)</f>
        <v/>
      </c>
      <c r="F30" s="15" t="n"/>
    </row>
    <row r="31">
      <c r="A31" s="12" t="n"/>
      <c r="B31" s="12" t="n"/>
      <c r="C31" s="13" t="n"/>
      <c r="D31" s="14" t="n"/>
      <c r="E31" s="10">
        <f>IF(OR($A31="",$C31=0),"",$D31/$C31)</f>
        <v/>
      </c>
      <c r="F31" s="15" t="n"/>
    </row>
    <row r="32">
      <c r="A32" s="12" t="n"/>
      <c r="B32" s="12" t="n"/>
      <c r="C32" s="13" t="n"/>
      <c r="D32" s="14" t="n"/>
      <c r="E32" s="10">
        <f>IF(OR($A32="",$C32=0),"",$D32/$C32)</f>
        <v/>
      </c>
      <c r="F32" s="15" t="n"/>
    </row>
    <row r="33">
      <c r="A33" s="12" t="n"/>
      <c r="B33" s="12" t="n"/>
      <c r="C33" s="13" t="n"/>
      <c r="D33" s="14" t="n"/>
      <c r="E33" s="10">
        <f>IF(OR($A33="",$C33=0),"",$D33/$C33)</f>
        <v/>
      </c>
      <c r="F33" s="15" t="n"/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pane xSplit="7" ySplit="8" topLeftCell="H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9" customWidth="1" min="3" max="3"/>
    <col width="14" customWidth="1" min="4" max="4"/>
    <col width="12" customWidth="1" min="5" max="5"/>
    <col width="8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A1" s="1" t="inlineStr">
        <is>
          <t xml:space="preserve">  สูตรเค้กกล้วยหอม — ตารางปริมาณและต้นทุนตามขนาดรอบผลิต</t>
        </is>
      </c>
    </row>
    <row r="2">
      <c r="A2" s="4" t="inlineStr">
        <is>
          <t>กรอกเฉพาะช่องพื้นเหลือง (ปริมาณสูตรฐาน / จำนวนชิ้น / ตัวคูณ) — ช่องอื่นเป็นสูตรคำนวณ</t>
        </is>
      </c>
    </row>
    <row r="3">
      <c r="A3" s="16" t="inlineStr">
        <is>
          <t>จำนวนชิ้นที่ได้ต่อสูตรฐาน (ชิ้น)</t>
        </is>
      </c>
      <c r="C3" s="17" t="n">
        <v>25</v>
      </c>
    </row>
    <row r="4">
      <c r="A4" s="16" t="inlineStr">
        <is>
          <t>ต้นทุนวัตถุดิบต่อสูตรฐาน (บาท)</t>
        </is>
      </c>
      <c r="C4" s="18">
        <f>$G$21</f>
        <v/>
      </c>
    </row>
    <row r="5">
      <c r="A5" s="16" t="inlineStr">
        <is>
          <t>ต้นทุนวัตถุดิบต่อชิ้น (บาท)</t>
        </is>
      </c>
      <c r="C5" s="18">
        <f>IFERROR($C$4/$C$3,0)</f>
        <v/>
      </c>
    </row>
    <row r="7">
      <c r="G7" s="19" t="inlineStr">
        <is>
          <t>ตัวคูณรอบผลิต →</t>
        </is>
      </c>
      <c r="H7" s="20" t="n">
        <v>0.5</v>
      </c>
      <c r="I7" s="20" t="n">
        <v>1</v>
      </c>
      <c r="J7" s="20" t="n">
        <v>1.5</v>
      </c>
      <c r="K7" s="20" t="n">
        <v>2</v>
      </c>
      <c r="L7" s="20" t="n">
        <v>2.5</v>
      </c>
      <c r="M7" s="20" t="n">
        <v>3</v>
      </c>
      <c r="N7" s="20" t="n">
        <v>3.5</v>
      </c>
      <c r="O7" s="20" t="n">
        <v>4</v>
      </c>
      <c r="P7" s="20" t="n">
        <v>5</v>
      </c>
    </row>
    <row r="8" ht="34" customHeight="1">
      <c r="A8" s="5" t="inlineStr">
        <is>
          <t>ลำดับ</t>
        </is>
      </c>
      <c r="B8" s="5" t="inlineStr">
        <is>
          <t>วัตถุดิบ</t>
        </is>
      </c>
      <c r="C8" s="5" t="inlineStr">
        <is>
          <t>หน่วย</t>
        </is>
      </c>
      <c r="D8" s="5" t="inlineStr">
        <is>
          <t>ปริมาณสูตรฐาน
(ไข่ 6 ฟอง)</t>
        </is>
      </c>
      <c r="E8" s="5" t="inlineStr">
        <is>
          <t>ต้นทุน/หน่วย
(บาท)</t>
        </is>
      </c>
      <c r="F8" s="5" t="inlineStr">
        <is>
          <t>คิด
ต้นทุน</t>
        </is>
      </c>
      <c r="G8" s="5" t="inlineStr">
        <is>
          <t>ต้นทุนสูตรฐาน
(บาท)</t>
        </is>
      </c>
      <c r="H8" s="5">
        <f>"x"&amp;H$7&amp;CHAR(10)&amp;"(ไข่ "&amp;ROUND($D$13*H$7,0)&amp;" ฟอง)"</f>
        <v/>
      </c>
      <c r="I8" s="5">
        <f>"x"&amp;I$7&amp;CHAR(10)&amp;"(ไข่ "&amp;ROUND($D$13*I$7,0)&amp;" ฟอง)"</f>
        <v/>
      </c>
      <c r="J8" s="5">
        <f>"x"&amp;J$7&amp;CHAR(10)&amp;"(ไข่ "&amp;ROUND($D$13*J$7,0)&amp;" ฟอง)"</f>
        <v/>
      </c>
      <c r="K8" s="5">
        <f>"x"&amp;K$7&amp;CHAR(10)&amp;"(ไข่ "&amp;ROUND($D$13*K$7,0)&amp;" ฟอง)"</f>
        <v/>
      </c>
      <c r="L8" s="5">
        <f>"x"&amp;L$7&amp;CHAR(10)&amp;"(ไข่ "&amp;ROUND($D$13*L$7,0)&amp;" ฟอง)"</f>
        <v/>
      </c>
      <c r="M8" s="5">
        <f>"x"&amp;M$7&amp;CHAR(10)&amp;"(ไข่ "&amp;ROUND($D$13*M$7,0)&amp;" ฟอง)"</f>
        <v/>
      </c>
      <c r="N8" s="5">
        <f>"x"&amp;N$7&amp;CHAR(10)&amp;"(ไข่ "&amp;ROUND($D$13*N$7,0)&amp;" ฟอง)"</f>
        <v/>
      </c>
      <c r="O8" s="5">
        <f>"x"&amp;O$7&amp;CHAR(10)&amp;"(ไข่ "&amp;ROUND($D$13*O$7,0)&amp;" ฟอง)"</f>
        <v/>
      </c>
      <c r="P8" s="5">
        <f>"x"&amp;P$7&amp;CHAR(10)&amp;"(ไข่ "&amp;ROUND($D$13*P$7,0)&amp;" ฟอง)"</f>
        <v/>
      </c>
    </row>
    <row r="9">
      <c r="A9" s="21" t="n">
        <v>1</v>
      </c>
      <c r="B9" s="6" t="inlineStr">
        <is>
          <t>แป้งเค้ก</t>
        </is>
      </c>
      <c r="C9" s="22">
        <f>IFERROR(INDEX('วัตถุดิบ'!$B$4:$B$33,MATCH($B9,'วัตถุดิบ'!$A$4:$A$33,0)),"")</f>
        <v/>
      </c>
      <c r="D9" s="23" t="n">
        <v>274</v>
      </c>
      <c r="E9" s="24">
        <f>IFERROR(INDEX('วัตถุดิบ'!$E$4:$E$33,MATCH($B9,'วัตถุดิบ'!$A$4:$A$33,0)),0)</f>
        <v/>
      </c>
      <c r="F9" s="20" t="inlineStr">
        <is>
          <t>Y</t>
        </is>
      </c>
      <c r="G9" s="25">
        <f>IF($F9="Y",$D9*$E9,0)</f>
        <v/>
      </c>
      <c r="H9" s="26">
        <f>ROUND($D9*H$7,1)</f>
        <v/>
      </c>
      <c r="I9" s="26">
        <f>ROUND($D9*I$7,1)</f>
        <v/>
      </c>
      <c r="J9" s="26">
        <f>ROUND($D9*J$7,1)</f>
        <v/>
      </c>
      <c r="K9" s="26">
        <f>ROUND($D9*K$7,1)</f>
        <v/>
      </c>
      <c r="L9" s="26">
        <f>ROUND($D9*L$7,1)</f>
        <v/>
      </c>
      <c r="M9" s="26">
        <f>ROUND($D9*M$7,1)</f>
        <v/>
      </c>
      <c r="N9" s="26">
        <f>ROUND($D9*N$7,1)</f>
        <v/>
      </c>
      <c r="O9" s="26">
        <f>ROUND($D9*O$7,1)</f>
        <v/>
      </c>
      <c r="P9" s="26">
        <f>ROUND($D9*P$7,1)</f>
        <v/>
      </c>
    </row>
    <row r="10">
      <c r="A10" s="21" t="n">
        <v>2</v>
      </c>
      <c r="B10" s="6" t="inlineStr">
        <is>
          <t>แป้งข้าว</t>
        </is>
      </c>
      <c r="C10" s="22">
        <f>IFERROR(INDEX('วัตถุดิบ'!$B$4:$B$33,MATCH($B10,'วัตถุดิบ'!$A$4:$A$33,0)),"")</f>
        <v/>
      </c>
      <c r="D10" s="23" t="n">
        <v>274</v>
      </c>
      <c r="E10" s="24">
        <f>IFERROR(INDEX('วัตถุดิบ'!$E$4:$E$33,MATCH($B10,'วัตถุดิบ'!$A$4:$A$33,0)),0)</f>
        <v/>
      </c>
      <c r="F10" s="20" t="inlineStr">
        <is>
          <t>Y</t>
        </is>
      </c>
      <c r="G10" s="25">
        <f>IF($F10="Y",$D10*$E10,0)</f>
        <v/>
      </c>
      <c r="H10" s="26">
        <f>ROUND($D10*H$7,1)</f>
        <v/>
      </c>
      <c r="I10" s="26">
        <f>ROUND($D10*I$7,1)</f>
        <v/>
      </c>
      <c r="J10" s="26">
        <f>ROUND($D10*J$7,1)</f>
        <v/>
      </c>
      <c r="K10" s="26">
        <f>ROUND($D10*K$7,1)</f>
        <v/>
      </c>
      <c r="L10" s="26">
        <f>ROUND($D10*L$7,1)</f>
        <v/>
      </c>
      <c r="M10" s="26">
        <f>ROUND($D10*M$7,1)</f>
        <v/>
      </c>
      <c r="N10" s="26">
        <f>ROUND($D10*N$7,1)</f>
        <v/>
      </c>
      <c r="O10" s="26">
        <f>ROUND($D10*O$7,1)</f>
        <v/>
      </c>
      <c r="P10" s="26">
        <f>ROUND($D10*P$7,1)</f>
        <v/>
      </c>
    </row>
    <row r="11">
      <c r="A11" s="21" t="n">
        <v>3</v>
      </c>
      <c r="B11" s="6" t="inlineStr">
        <is>
          <t>น้ำตาลทราย</t>
        </is>
      </c>
      <c r="C11" s="22">
        <f>IFERROR(INDEX('วัตถุดิบ'!$B$4:$B$33,MATCH($B11,'วัตถุดิบ'!$A$4:$A$33,0)),"")</f>
        <v/>
      </c>
      <c r="D11" s="23" t="n">
        <v>330</v>
      </c>
      <c r="E11" s="24">
        <f>IFERROR(INDEX('วัตถุดิบ'!$E$4:$E$33,MATCH($B11,'วัตถุดิบ'!$A$4:$A$33,0)),0)</f>
        <v/>
      </c>
      <c r="F11" s="20" t="inlineStr">
        <is>
          <t>Y</t>
        </is>
      </c>
      <c r="G11" s="25">
        <f>IF($F11="Y",$D11*$E11,0)</f>
        <v/>
      </c>
      <c r="H11" s="26">
        <f>ROUND($D11*H$7,1)</f>
        <v/>
      </c>
      <c r="I11" s="26">
        <f>ROUND($D11*I$7,1)</f>
        <v/>
      </c>
      <c r="J11" s="26">
        <f>ROUND($D11*J$7,1)</f>
        <v/>
      </c>
      <c r="K11" s="26">
        <f>ROUND($D11*K$7,1)</f>
        <v/>
      </c>
      <c r="L11" s="26">
        <f>ROUND($D11*L$7,1)</f>
        <v/>
      </c>
      <c r="M11" s="26">
        <f>ROUND($D11*M$7,1)</f>
        <v/>
      </c>
      <c r="N11" s="26">
        <f>ROUND($D11*N$7,1)</f>
        <v/>
      </c>
      <c r="O11" s="26">
        <f>ROUND($D11*O$7,1)</f>
        <v/>
      </c>
      <c r="P11" s="26">
        <f>ROUND($D11*P$7,1)</f>
        <v/>
      </c>
    </row>
    <row r="12">
      <c r="A12" s="21" t="n">
        <v>4</v>
      </c>
      <c r="B12" s="6" t="inlineStr">
        <is>
          <t>กรดมะนาว</t>
        </is>
      </c>
      <c r="C12" s="22">
        <f>IFERROR(INDEX('วัตถุดิบ'!$B$4:$B$33,MATCH($B12,'วัตถุดิบ'!$A$4:$A$33,0)),"")</f>
        <v/>
      </c>
      <c r="D12" s="23" t="n">
        <v>7</v>
      </c>
      <c r="E12" s="24">
        <f>IFERROR(INDEX('วัตถุดิบ'!$E$4:$E$33,MATCH($B12,'วัตถุดิบ'!$A$4:$A$33,0)),0)</f>
        <v/>
      </c>
      <c r="F12" s="20" t="inlineStr">
        <is>
          <t>N</t>
        </is>
      </c>
      <c r="G12" s="25">
        <f>IF($F12="Y",$D12*$E12,0)</f>
        <v/>
      </c>
      <c r="H12" s="26">
        <f>ROUND($D12*H$7,1)</f>
        <v/>
      </c>
      <c r="I12" s="26">
        <f>ROUND($D12*I$7,1)</f>
        <v/>
      </c>
      <c r="J12" s="26">
        <f>ROUND($D12*J$7,1)</f>
        <v/>
      </c>
      <c r="K12" s="26">
        <f>ROUND($D12*K$7,1)</f>
        <v/>
      </c>
      <c r="L12" s="26">
        <f>ROUND($D12*L$7,1)</f>
        <v/>
      </c>
      <c r="M12" s="26">
        <f>ROUND($D12*M$7,1)</f>
        <v/>
      </c>
      <c r="N12" s="26">
        <f>ROUND($D12*N$7,1)</f>
        <v/>
      </c>
      <c r="O12" s="26">
        <f>ROUND($D12*O$7,1)</f>
        <v/>
      </c>
      <c r="P12" s="26">
        <f>ROUND($D12*P$7,1)</f>
        <v/>
      </c>
    </row>
    <row r="13">
      <c r="A13" s="21" t="n">
        <v>5</v>
      </c>
      <c r="B13" s="6" t="inlineStr">
        <is>
          <t>ไข่ไก่</t>
        </is>
      </c>
      <c r="C13" s="22">
        <f>IFERROR(INDEX('วัตถุดิบ'!$B$4:$B$33,MATCH($B13,'วัตถุดิบ'!$A$4:$A$33,0)),"")</f>
        <v/>
      </c>
      <c r="D13" s="23" t="n">
        <v>6</v>
      </c>
      <c r="E13" s="24">
        <f>IFERROR(INDEX('วัตถุดิบ'!$E$4:$E$33,MATCH($B13,'วัตถุดิบ'!$A$4:$A$33,0)),0)</f>
        <v/>
      </c>
      <c r="F13" s="20" t="inlineStr">
        <is>
          <t>Y</t>
        </is>
      </c>
      <c r="G13" s="25">
        <f>IF($F13="Y",$D13*$E13,0)</f>
        <v/>
      </c>
      <c r="H13" s="26">
        <f>ROUND($D13*H$7,1)</f>
        <v/>
      </c>
      <c r="I13" s="26">
        <f>ROUND($D13*I$7,1)</f>
        <v/>
      </c>
      <c r="J13" s="26">
        <f>ROUND($D13*J$7,1)</f>
        <v/>
      </c>
      <c r="K13" s="26">
        <f>ROUND($D13*K$7,1)</f>
        <v/>
      </c>
      <c r="L13" s="26">
        <f>ROUND($D13*L$7,1)</f>
        <v/>
      </c>
      <c r="M13" s="26">
        <f>ROUND($D13*M$7,1)</f>
        <v/>
      </c>
      <c r="N13" s="26">
        <f>ROUND($D13*N$7,1)</f>
        <v/>
      </c>
      <c r="O13" s="26">
        <f>ROUND($D13*O$7,1)</f>
        <v/>
      </c>
      <c r="P13" s="26">
        <f>ROUND($D13*P$7,1)</f>
        <v/>
      </c>
    </row>
    <row r="14">
      <c r="A14" s="21" t="n">
        <v>6</v>
      </c>
      <c r="B14" s="6" t="inlineStr">
        <is>
          <t>น้ำมันรำข้าว</t>
        </is>
      </c>
      <c r="C14" s="22">
        <f>IFERROR(INDEX('วัตถุดิบ'!$B$4:$B$33,MATCH($B14,'วัตถุดิบ'!$A$4:$A$33,0)),"")</f>
        <v/>
      </c>
      <c r="D14" s="23" t="n">
        <v>382</v>
      </c>
      <c r="E14" s="24">
        <f>IFERROR(INDEX('วัตถุดิบ'!$E$4:$E$33,MATCH($B14,'วัตถุดิบ'!$A$4:$A$33,0)),0)</f>
        <v/>
      </c>
      <c r="F14" s="20" t="inlineStr">
        <is>
          <t>Y</t>
        </is>
      </c>
      <c r="G14" s="25">
        <f>IF($F14="Y",$D14*$E14,0)</f>
        <v/>
      </c>
      <c r="H14" s="26">
        <f>ROUND($D14*H$7,1)</f>
        <v/>
      </c>
      <c r="I14" s="26">
        <f>ROUND($D14*I$7,1)</f>
        <v/>
      </c>
      <c r="J14" s="26">
        <f>ROUND($D14*J$7,1)</f>
        <v/>
      </c>
      <c r="K14" s="26">
        <f>ROUND($D14*K$7,1)</f>
        <v/>
      </c>
      <c r="L14" s="26">
        <f>ROUND($D14*L$7,1)</f>
        <v/>
      </c>
      <c r="M14" s="26">
        <f>ROUND($D14*M$7,1)</f>
        <v/>
      </c>
      <c r="N14" s="26">
        <f>ROUND($D14*N$7,1)</f>
        <v/>
      </c>
      <c r="O14" s="26">
        <f>ROUND($D14*O$7,1)</f>
        <v/>
      </c>
      <c r="P14" s="26">
        <f>ROUND($D14*P$7,1)</f>
        <v/>
      </c>
    </row>
    <row r="15">
      <c r="A15" s="21" t="n">
        <v>7</v>
      </c>
      <c r="B15" s="6" t="inlineStr">
        <is>
          <t>เนยสด</t>
        </is>
      </c>
      <c r="C15" s="22">
        <f>IFERROR(INDEX('วัตถุดิบ'!$B$4:$B$33,MATCH($B15,'วัตถุดิบ'!$A$4:$A$33,0)),"")</f>
        <v/>
      </c>
      <c r="D15" s="23" t="n">
        <v>192</v>
      </c>
      <c r="E15" s="24">
        <f>IFERROR(INDEX('วัตถุดิบ'!$E$4:$E$33,MATCH($B15,'วัตถุดิบ'!$A$4:$A$33,0)),0)</f>
        <v/>
      </c>
      <c r="F15" s="20" t="inlineStr">
        <is>
          <t>Y</t>
        </is>
      </c>
      <c r="G15" s="25">
        <f>IF($F15="Y",$D15*$E15,0)</f>
        <v/>
      </c>
      <c r="H15" s="26">
        <f>ROUND($D15*H$7,1)</f>
        <v/>
      </c>
      <c r="I15" s="26">
        <f>ROUND($D15*I$7,1)</f>
        <v/>
      </c>
      <c r="J15" s="26">
        <f>ROUND($D15*J$7,1)</f>
        <v/>
      </c>
      <c r="K15" s="26">
        <f>ROUND($D15*K$7,1)</f>
        <v/>
      </c>
      <c r="L15" s="26">
        <f>ROUND($D15*L$7,1)</f>
        <v/>
      </c>
      <c r="M15" s="26">
        <f>ROUND($D15*M$7,1)</f>
        <v/>
      </c>
      <c r="N15" s="26">
        <f>ROUND($D15*N$7,1)</f>
        <v/>
      </c>
      <c r="O15" s="26">
        <f>ROUND($D15*O$7,1)</f>
        <v/>
      </c>
      <c r="P15" s="26">
        <f>ROUND($D15*P$7,1)</f>
        <v/>
      </c>
    </row>
    <row r="16">
      <c r="A16" s="21" t="n">
        <v>8</v>
      </c>
      <c r="B16" s="6" t="inlineStr">
        <is>
          <t>กล้วยหอมสุก</t>
        </is>
      </c>
      <c r="C16" s="22">
        <f>IFERROR(INDEX('วัตถุดิบ'!$B$4:$B$33,MATCH($B16,'วัตถุดิบ'!$A$4:$A$33,0)),"")</f>
        <v/>
      </c>
      <c r="D16" s="23" t="n">
        <v>646</v>
      </c>
      <c r="E16" s="24">
        <f>IFERROR(INDEX('วัตถุดิบ'!$E$4:$E$33,MATCH($B16,'วัตถุดิบ'!$A$4:$A$33,0)),0)</f>
        <v/>
      </c>
      <c r="F16" s="20" t="inlineStr">
        <is>
          <t>N</t>
        </is>
      </c>
      <c r="G16" s="25">
        <f>IF($F16="Y",$D16*$E16,0)</f>
        <v/>
      </c>
      <c r="H16" s="26">
        <f>ROUND($D16*H$7,1)</f>
        <v/>
      </c>
      <c r="I16" s="26">
        <f>ROUND($D16*I$7,1)</f>
        <v/>
      </c>
      <c r="J16" s="26">
        <f>ROUND($D16*J$7,1)</f>
        <v/>
      </c>
      <c r="K16" s="26">
        <f>ROUND($D16*K$7,1)</f>
        <v/>
      </c>
      <c r="L16" s="26">
        <f>ROUND($D16*L$7,1)</f>
        <v/>
      </c>
      <c r="M16" s="26">
        <f>ROUND($D16*M$7,1)</f>
        <v/>
      </c>
      <c r="N16" s="26">
        <f>ROUND($D16*N$7,1)</f>
        <v/>
      </c>
      <c r="O16" s="26">
        <f>ROUND($D16*O$7,1)</f>
        <v/>
      </c>
      <c r="P16" s="26">
        <f>ROUND($D16*P$7,1)</f>
        <v/>
      </c>
    </row>
    <row r="17">
      <c r="A17" s="21" t="n">
        <v>9</v>
      </c>
      <c r="B17" s="6" t="inlineStr">
        <is>
          <t>ผงฟู</t>
        </is>
      </c>
      <c r="C17" s="22">
        <f>IFERROR(INDEX('วัตถุดิบ'!$B$4:$B$33,MATCH($B17,'วัตถุดิบ'!$A$4:$A$33,0)),"")</f>
        <v/>
      </c>
      <c r="D17" s="23" t="n">
        <v>15</v>
      </c>
      <c r="E17" s="24">
        <f>IFERROR(INDEX('วัตถุดิบ'!$E$4:$E$33,MATCH($B17,'วัตถุดิบ'!$A$4:$A$33,0)),0)</f>
        <v/>
      </c>
      <c r="F17" s="20" t="inlineStr">
        <is>
          <t>Y</t>
        </is>
      </c>
      <c r="G17" s="25">
        <f>IF($F17="Y",$D17*$E17,0)</f>
        <v/>
      </c>
      <c r="H17" s="26">
        <f>ROUND($D17*H$7,1)</f>
        <v/>
      </c>
      <c r="I17" s="26">
        <f>ROUND($D17*I$7,1)</f>
        <v/>
      </c>
      <c r="J17" s="26">
        <f>ROUND($D17*J$7,1)</f>
        <v/>
      </c>
      <c r="K17" s="26">
        <f>ROUND($D17*K$7,1)</f>
        <v/>
      </c>
      <c r="L17" s="26">
        <f>ROUND($D17*L$7,1)</f>
        <v/>
      </c>
      <c r="M17" s="26">
        <f>ROUND($D17*M$7,1)</f>
        <v/>
      </c>
      <c r="N17" s="26">
        <f>ROUND($D17*N$7,1)</f>
        <v/>
      </c>
      <c r="O17" s="26">
        <f>ROUND($D17*O$7,1)</f>
        <v/>
      </c>
      <c r="P17" s="26">
        <f>ROUND($D17*P$7,1)</f>
        <v/>
      </c>
    </row>
    <row r="18">
      <c r="A18" s="21" t="n">
        <v>10</v>
      </c>
      <c r="B18" s="6" t="inlineStr">
        <is>
          <t>เกลือ</t>
        </is>
      </c>
      <c r="C18" s="22">
        <f>IFERROR(INDEX('วัตถุดิบ'!$B$4:$B$33,MATCH($B18,'วัตถุดิบ'!$A$4:$A$33,0)),"")</f>
        <v/>
      </c>
      <c r="D18" s="23" t="n">
        <v>4</v>
      </c>
      <c r="E18" s="24">
        <f>IFERROR(INDEX('วัตถุดิบ'!$E$4:$E$33,MATCH($B18,'วัตถุดิบ'!$A$4:$A$33,0)),0)</f>
        <v/>
      </c>
      <c r="F18" s="20" t="inlineStr">
        <is>
          <t>Y</t>
        </is>
      </c>
      <c r="G18" s="25">
        <f>IF($F18="Y",$D18*$E18,0)</f>
        <v/>
      </c>
      <c r="H18" s="26">
        <f>ROUND($D18*H$7,1)</f>
        <v/>
      </c>
      <c r="I18" s="26">
        <f>ROUND($D18*I$7,1)</f>
        <v/>
      </c>
      <c r="J18" s="26">
        <f>ROUND($D18*J$7,1)</f>
        <v/>
      </c>
      <c r="K18" s="26">
        <f>ROUND($D18*K$7,1)</f>
        <v/>
      </c>
      <c r="L18" s="26">
        <f>ROUND($D18*L$7,1)</f>
        <v/>
      </c>
      <c r="M18" s="26">
        <f>ROUND($D18*M$7,1)</f>
        <v/>
      </c>
      <c r="N18" s="26">
        <f>ROUND($D18*N$7,1)</f>
        <v/>
      </c>
      <c r="O18" s="26">
        <f>ROUND($D18*O$7,1)</f>
        <v/>
      </c>
      <c r="P18" s="26">
        <f>ROUND($D18*P$7,1)</f>
        <v/>
      </c>
    </row>
    <row r="19">
      <c r="A19" s="21" t="n">
        <v>11</v>
      </c>
      <c r="B19" s="6" t="inlineStr">
        <is>
          <t>เบกกิ้งโซดา</t>
        </is>
      </c>
      <c r="C19" s="22">
        <f>IFERROR(INDEX('วัตถุดิบ'!$B$4:$B$33,MATCH($B19,'วัตถุดิบ'!$A$4:$A$33,0)),"")</f>
        <v/>
      </c>
      <c r="D19" s="23" t="n">
        <v>8</v>
      </c>
      <c r="E19" s="24">
        <f>IFERROR(INDEX('วัตถุดิบ'!$E$4:$E$33,MATCH($B19,'วัตถุดิบ'!$A$4:$A$33,0)),0)</f>
        <v/>
      </c>
      <c r="F19" s="20" t="inlineStr">
        <is>
          <t>Y</t>
        </is>
      </c>
      <c r="G19" s="25">
        <f>IF($F19="Y",$D19*$E19,0)</f>
        <v/>
      </c>
      <c r="H19" s="26">
        <f>ROUND($D19*H$7,1)</f>
        <v/>
      </c>
      <c r="I19" s="26">
        <f>ROUND($D19*I$7,1)</f>
        <v/>
      </c>
      <c r="J19" s="26">
        <f>ROUND($D19*J$7,1)</f>
        <v/>
      </c>
      <c r="K19" s="26">
        <f>ROUND($D19*K$7,1)</f>
        <v/>
      </c>
      <c r="L19" s="26">
        <f>ROUND($D19*L$7,1)</f>
        <v/>
      </c>
      <c r="M19" s="26">
        <f>ROUND($D19*M$7,1)</f>
        <v/>
      </c>
      <c r="N19" s="26">
        <f>ROUND($D19*N$7,1)</f>
        <v/>
      </c>
      <c r="O19" s="26">
        <f>ROUND($D19*O$7,1)</f>
        <v/>
      </c>
      <c r="P19" s="26">
        <f>ROUND($D19*P$7,1)</f>
        <v/>
      </c>
    </row>
    <row r="20">
      <c r="A20" s="21" t="n">
        <v>12</v>
      </c>
      <c r="B20" s="6" t="inlineStr">
        <is>
          <t>กลิ่นกล้วย</t>
        </is>
      </c>
      <c r="C20" s="22">
        <f>IFERROR(INDEX('วัตถุดิบ'!$B$4:$B$33,MATCH($B20,'วัตถุดิบ'!$A$4:$A$33,0)),"")</f>
        <v/>
      </c>
      <c r="D20" s="23" t="n">
        <v>1</v>
      </c>
      <c r="E20" s="24">
        <f>IFERROR(INDEX('วัตถุดิบ'!$E$4:$E$33,MATCH($B20,'วัตถุดิบ'!$A$4:$A$33,0)),0)</f>
        <v/>
      </c>
      <c r="F20" s="20" t="inlineStr">
        <is>
          <t>Y</t>
        </is>
      </c>
      <c r="G20" s="25">
        <f>IF($F20="Y",$D20*$E20,0)</f>
        <v/>
      </c>
      <c r="H20" s="26">
        <f>ROUND($D20*H$7,1)</f>
        <v/>
      </c>
      <c r="I20" s="26">
        <f>ROUND($D20*I$7,1)</f>
        <v/>
      </c>
      <c r="J20" s="26">
        <f>ROUND($D20*J$7,1)</f>
        <v/>
      </c>
      <c r="K20" s="26">
        <f>ROUND($D20*K$7,1)</f>
        <v/>
      </c>
      <c r="L20" s="26">
        <f>ROUND($D20*L$7,1)</f>
        <v/>
      </c>
      <c r="M20" s="26">
        <f>ROUND($D20*M$7,1)</f>
        <v/>
      </c>
      <c r="N20" s="26">
        <f>ROUND($D20*N$7,1)</f>
        <v/>
      </c>
      <c r="O20" s="26">
        <f>ROUND($D20*O$7,1)</f>
        <v/>
      </c>
      <c r="P20" s="26">
        <f>ROUND($D20*P$7,1)</f>
        <v/>
      </c>
    </row>
    <row r="21">
      <c r="A21" s="27" t="n"/>
      <c r="B21" s="28" t="inlineStr">
        <is>
          <t>รวมต้นทุนวัตถุดิบ (บาท)</t>
        </is>
      </c>
      <c r="C21" s="27" t="n"/>
      <c r="D21" s="27" t="n"/>
      <c r="E21" s="27" t="n"/>
      <c r="F21" s="27" t="n"/>
      <c r="G21" s="29">
        <f>SUM(G9:G20)</f>
        <v/>
      </c>
      <c r="H21" s="29">
        <f>SUMPRODUCT(($F$9:$F$20="Y")*$E$9:$E$20*H$9:H$20)</f>
        <v/>
      </c>
      <c r="I21" s="29">
        <f>SUMPRODUCT(($F$9:$F$20="Y")*$E$9:$E$20*I$9:I$20)</f>
        <v/>
      </c>
      <c r="J21" s="29">
        <f>SUMPRODUCT(($F$9:$F$20="Y")*$E$9:$E$20*J$9:J$20)</f>
        <v/>
      </c>
      <c r="K21" s="29">
        <f>SUMPRODUCT(($F$9:$F$20="Y")*$E$9:$E$20*K$9:K$20)</f>
        <v/>
      </c>
      <c r="L21" s="29">
        <f>SUMPRODUCT(($F$9:$F$20="Y")*$E$9:$E$20*L$9:L$20)</f>
        <v/>
      </c>
      <c r="M21" s="29">
        <f>SUMPRODUCT(($F$9:$F$20="Y")*$E$9:$E$20*M$9:M$20)</f>
        <v/>
      </c>
      <c r="N21" s="29">
        <f>SUMPRODUCT(($F$9:$F$20="Y")*$E$9:$E$20*N$9:N$20)</f>
        <v/>
      </c>
      <c r="O21" s="29">
        <f>SUMPRODUCT(($F$9:$F$20="Y")*$E$9:$E$20*O$9:O$20)</f>
        <v/>
      </c>
      <c r="P21" s="29">
        <f>SUMPRODUCT(($F$9:$F$20="Y")*$E$9:$E$20*P$9:P$20)</f>
        <v/>
      </c>
    </row>
    <row r="22">
      <c r="A22" s="30" t="n"/>
      <c r="B22" s="31" t="inlineStr">
        <is>
          <t>จำนวนชิ้นที่ได้ (ชิ้น)</t>
        </is>
      </c>
      <c r="C22" s="30" t="n"/>
      <c r="D22" s="30" t="n"/>
      <c r="E22" s="30" t="n"/>
      <c r="F22" s="30" t="n"/>
      <c r="G22" s="32">
        <f>$C$3</f>
        <v/>
      </c>
      <c r="H22" s="33">
        <f>ROUND($C$3*H$7,0)</f>
        <v/>
      </c>
      <c r="I22" s="33">
        <f>ROUND($C$3*I$7,0)</f>
        <v/>
      </c>
      <c r="J22" s="33">
        <f>ROUND($C$3*J$7,0)</f>
        <v/>
      </c>
      <c r="K22" s="33">
        <f>ROUND($C$3*K$7,0)</f>
        <v/>
      </c>
      <c r="L22" s="33">
        <f>ROUND($C$3*L$7,0)</f>
        <v/>
      </c>
      <c r="M22" s="33">
        <f>ROUND($C$3*M$7,0)</f>
        <v/>
      </c>
      <c r="N22" s="33">
        <f>ROUND($C$3*N$7,0)</f>
        <v/>
      </c>
      <c r="O22" s="33">
        <f>ROUND($C$3*O$7,0)</f>
        <v/>
      </c>
      <c r="P22" s="33">
        <f>ROUND($C$3*P$7,0)</f>
        <v/>
      </c>
    </row>
    <row r="23">
      <c r="A23" s="27" t="n"/>
      <c r="B23" s="28" t="inlineStr">
        <is>
          <t>ต้นทุนวัตถุดิบต่อชิ้น (บาท)</t>
        </is>
      </c>
      <c r="C23" s="27" t="n"/>
      <c r="D23" s="27" t="n"/>
      <c r="E23" s="27" t="n"/>
      <c r="F23" s="27" t="n"/>
      <c r="G23" s="29">
        <f>IFERROR(G21/G22,0)</f>
        <v/>
      </c>
      <c r="H23" s="29">
        <f>IFERROR(H21/H22,0)</f>
        <v/>
      </c>
      <c r="I23" s="29">
        <f>IFERROR(I21/I22,0)</f>
        <v/>
      </c>
      <c r="J23" s="29">
        <f>IFERROR(J21/J22,0)</f>
        <v/>
      </c>
      <c r="K23" s="29">
        <f>IFERROR(K21/K22,0)</f>
        <v/>
      </c>
      <c r="L23" s="29">
        <f>IFERROR(L21/L22,0)</f>
        <v/>
      </c>
      <c r="M23" s="29">
        <f>IFERROR(M21/M22,0)</f>
        <v/>
      </c>
      <c r="N23" s="29">
        <f>IFERROR(N21/N22,0)</f>
        <v/>
      </c>
      <c r="O23" s="29">
        <f>IFERROR(O21/O22,0)</f>
        <v/>
      </c>
      <c r="P23" s="29">
        <f>IFERROR(P21/P22,0)</f>
        <v/>
      </c>
    </row>
    <row r="25">
      <c r="A25" s="4" t="inlineStr">
        <is>
          <t>บันทึกท้ายตารางในสมุด: "เค้กกล้วยหอม ต้นทุนดิบ 4 ชิ้น 40.-  ต้นทุน 24 บาท  6 บาทต่อชิ้น"   |   ยอดรวมสูตรฐานในสมุด = 150.033 บาท (ไม่รวมกล้วยหอมและกรดมะนาว)</t>
        </is>
      </c>
    </row>
  </sheetData>
  <mergeCells count="1">
    <mergeCell ref="A1:P1"/>
  </mergeCells>
  <dataValidations count="2">
    <dataValidation sqref="B9:B20" showDropDown="0" showInputMessage="0" showErrorMessage="0" allowBlank="1" errorTitle="ไม่พบวัตถุดิบนี้" error="กรุณาเลือกชื่อวัตถุดิบจากชีต 'วัตถุดิบ'" type="list">
      <formula1>='วัตถุดิบ'!$A$4:$A$33</formula1>
    </dataValidation>
    <dataValidation sqref="F9:F20" showDropDown="0" showInputMessage="0" showErrorMessage="0" allowBlank="0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2" customWidth="1" min="4" max="4"/>
    <col width="16" customWidth="1" min="5" max="5"/>
    <col width="40" customWidth="1" min="6" max="6"/>
  </cols>
  <sheetData>
    <row r="1" ht="26" customHeight="1">
      <c r="A1" s="1" t="inlineStr">
        <is>
          <t xml:space="preserve">  ตั้งราคาขาย &amp; กำไร — เค้กกล้วยหอม (ต่อ 1 สูตรฐาน)</t>
        </is>
      </c>
    </row>
    <row r="2">
      <c r="A2" s="4" t="inlineStr">
        <is>
          <t>ช่องพื้นเหลือง = กรอกเอง</t>
        </is>
      </c>
    </row>
    <row r="4">
      <c r="B4" s="30" t="inlineStr">
        <is>
          <t>ต้นทุนวัตถุดิบต่อสูตรฐาน (บาท)</t>
        </is>
      </c>
      <c r="C4" s="34">
        <f>'สูตร_เค้กกล้วยหอม'!$C$4</f>
        <v/>
      </c>
      <c r="F4" s="35" t="inlineStr">
        <is>
          <t>ดึงจากชีตสูตรอัตโนมัติ</t>
        </is>
      </c>
    </row>
    <row r="5">
      <c r="B5" s="30" t="inlineStr">
        <is>
          <t>จำนวนชิ้นที่ได้ต่อสูตรฐาน (ชิ้น)</t>
        </is>
      </c>
      <c r="C5" s="36">
        <f>'สูตร_เค้กกล้วยหอม'!$C$3</f>
        <v/>
      </c>
      <c r="F5" s="35" t="inlineStr">
        <is>
          <t>ดึงจากชีตสูตรอัตโนมัติ</t>
        </is>
      </c>
    </row>
    <row r="6">
      <c r="B6" s="30" t="inlineStr">
        <is>
          <t>ค่าบรรจุภัณฑ์ต่อชิ้น (บาท)</t>
        </is>
      </c>
      <c r="C6" s="37" t="n">
        <v>0</v>
      </c>
      <c r="F6" s="35" t="inlineStr">
        <is>
          <t>กล่อง/ถุง/สติกเกอร์ ต่อ 1 ชิ้น</t>
        </is>
      </c>
    </row>
    <row r="7">
      <c r="B7" s="30" t="inlineStr">
        <is>
          <t>ค่าแรง + ค่าแก๊ส/ไฟ ต่อสูตรฐาน (บาท)</t>
        </is>
      </c>
      <c r="C7" s="37" t="n">
        <v>0</v>
      </c>
      <c r="F7" s="35" t="inlineStr">
        <is>
          <t>ใส่ 0 ถ้ายังไม่คิดค่าแรงตัวเอง</t>
        </is>
      </c>
    </row>
    <row r="8">
      <c r="B8" s="31" t="inlineStr">
        <is>
          <t>ต้นทุนรวมต่อสูตรฐาน (บาท)</t>
        </is>
      </c>
      <c r="C8" s="38">
        <f>$C$4+$C$7+($C$6*$C$5)</f>
        <v/>
      </c>
      <c r="F8" s="35" t="inlineStr">
        <is>
          <t>วัตถุดิบ + ค่าแรง + (บรรจุภัณฑ์ × จำนวนชิ้น)</t>
        </is>
      </c>
    </row>
    <row r="9">
      <c r="B9" s="31" t="inlineStr">
        <is>
          <t>ต้นทุนรวมต่อชิ้น (บาท)</t>
        </is>
      </c>
      <c r="C9" s="38">
        <f>IFERROR($C$8/$C$5,0)</f>
        <v/>
      </c>
      <c r="F9" s="35" t="inlineStr"/>
    </row>
    <row r="10">
      <c r="B10" s="30" t="inlineStr">
        <is>
          <t>ราคาขายต่อชิ้น (บาท)</t>
        </is>
      </c>
      <c r="C10" s="37" t="n">
        <v>10</v>
      </c>
      <c r="F10" s="35" t="inlineStr">
        <is>
          <t>ในสมุดขาย 4 ชิ้น 40 บาท = 10 บาท/ชิ้น</t>
        </is>
      </c>
    </row>
    <row r="11">
      <c r="B11" s="31" t="inlineStr">
        <is>
          <t>กำไรต่อชิ้น (บาท)</t>
        </is>
      </c>
      <c r="C11" s="38">
        <f>$C$10-$C$9</f>
        <v/>
      </c>
      <c r="F11" s="35" t="inlineStr"/>
    </row>
    <row r="12">
      <c r="B12" s="31" t="inlineStr">
        <is>
          <t>% กำไรจากราคาขาย (Margin)</t>
        </is>
      </c>
      <c r="C12" s="39">
        <f>IFERROR($C$11/$C$10,0)</f>
        <v/>
      </c>
      <c r="F12" s="35" t="inlineStr">
        <is>
          <t>ขนมอบทั่วไปควรได้ 50–65%</t>
        </is>
      </c>
    </row>
    <row r="13">
      <c r="B13" s="31" t="inlineStr">
        <is>
          <t>% บวกเพิ่มจากต้นทุน (Markup)</t>
        </is>
      </c>
      <c r="C13" s="39">
        <f>IFERROR($C$11/$C$9,0)</f>
        <v/>
      </c>
      <c r="F13" s="35" t="inlineStr"/>
    </row>
    <row r="14">
      <c r="B14" s="31" t="inlineStr">
        <is>
          <t>รายได้ต่อสูตรฐาน ถ้าขายหมด (บาท)</t>
        </is>
      </c>
      <c r="C14" s="38">
        <f>$C$10*$C$5</f>
        <v/>
      </c>
      <c r="F14" s="35" t="inlineStr"/>
    </row>
    <row r="15">
      <c r="B15" s="31" t="inlineStr">
        <is>
          <t>กำไรต่อสูตรฐาน ถ้าขายหมด (บาท)</t>
        </is>
      </c>
      <c r="C15" s="38">
        <f>$C$14-$C$8</f>
        <v/>
      </c>
      <c r="F15" s="35" t="inlineStr"/>
    </row>
    <row r="16">
      <c r="B16" s="31" t="inlineStr">
        <is>
          <t>ต้องขายกี่ชิ้นถึงคุ้มทุนสูตรนี้</t>
        </is>
      </c>
      <c r="C16" s="40">
        <f>IFERROR(ROUNDUP($C$8/$C$10,0),0)</f>
        <v/>
      </c>
      <c r="F16" s="35" t="inlineStr">
        <is>
          <t>ที่เหลือจากจำนวนนี้คือกำไร</t>
        </is>
      </c>
    </row>
    <row r="18">
      <c r="B18" s="41" t="inlineStr">
        <is>
          <t>ตารางราคาแนะนำ (คิดจากต้นทุนรวมต่อชิ้น)</t>
        </is>
      </c>
    </row>
    <row r="19" ht="30" customHeight="1">
      <c r="B19" s="5" t="inlineStr">
        <is>
          <t>บวกกำไรจากต้นทุน</t>
        </is>
      </c>
      <c r="C19" s="5" t="inlineStr">
        <is>
          <t>ราคาที่คำนวณได้ (บาท)</t>
        </is>
      </c>
      <c r="D19" s="5" t="inlineStr">
        <is>
          <t>ราคาแนะนำ ปัดขึ้น (บาท)</t>
        </is>
      </c>
      <c r="E19" s="5" t="inlineStr">
        <is>
          <t>กำไรต่อชิ้น (บาท)</t>
        </is>
      </c>
    </row>
    <row r="20">
      <c r="B20" s="42" t="n">
        <v>0.5</v>
      </c>
      <c r="C20" s="43">
        <f>$C$9*(1+$B20)</f>
        <v/>
      </c>
      <c r="D20" s="44">
        <f>CEILING($C20,1)</f>
        <v/>
      </c>
      <c r="E20" s="43">
        <f>$D20-$C$9</f>
        <v/>
      </c>
    </row>
    <row r="21">
      <c r="B21" s="42" t="n">
        <v>0.8</v>
      </c>
      <c r="C21" s="43">
        <f>$C$9*(1+$B21)</f>
        <v/>
      </c>
      <c r="D21" s="44">
        <f>CEILING($C21,1)</f>
        <v/>
      </c>
      <c r="E21" s="43">
        <f>$D21-$C$9</f>
        <v/>
      </c>
    </row>
    <row r="22">
      <c r="B22" s="42" t="n">
        <v>1</v>
      </c>
      <c r="C22" s="43">
        <f>$C$9*(1+$B22)</f>
        <v/>
      </c>
      <c r="D22" s="44">
        <f>CEILING($C22,1)</f>
        <v/>
      </c>
      <c r="E22" s="43">
        <f>$D22-$C$9</f>
        <v/>
      </c>
    </row>
    <row r="23">
      <c r="B23" s="42" t="n">
        <v>1.5</v>
      </c>
      <c r="C23" s="43">
        <f>$C$9*(1+$B23)</f>
        <v/>
      </c>
      <c r="D23" s="44">
        <f>CEILING($C23,1)</f>
        <v/>
      </c>
      <c r="E23" s="43">
        <f>$D23-$C$9</f>
        <v/>
      </c>
    </row>
    <row r="24">
      <c r="B24" s="42" t="n">
        <v>2</v>
      </c>
      <c r="C24" s="43">
        <f>$C$9*(1+$B24)</f>
        <v/>
      </c>
      <c r="D24" s="44">
        <f>CEILING($C24,1)</f>
        <v/>
      </c>
      <c r="E24" s="43">
        <f>$D24-$C$9</f>
        <v/>
      </c>
    </row>
    <row r="26">
      <c r="B26" s="4" t="inlineStr">
        <is>
          <t>* ราคาแนะนำยังไม่รวมค่าขนส่ง ค่าธรรมเนียมแอปเดลิเวอรี (ปกติหัก 30–32%) ถ้าขายผ่านแอปควรตั้งราคาสูงกว่าหน้าร้าน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xSplit="7" ySplit="8" topLeftCell="H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9" customWidth="1" min="3" max="3"/>
    <col width="14" customWidth="1" min="4" max="4"/>
    <col width="12" customWidth="1" min="5" max="5"/>
    <col width="8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A1" s="1" t="inlineStr">
        <is>
          <t xml:space="preserve">  แบบฟอร์มสูตรใหม่ — คัดลอกแท็บนี้เพื่อเพิ่มขนมชนิดอื่น</t>
        </is>
      </c>
    </row>
    <row r="2">
      <c r="A2" s="4" t="inlineStr">
        <is>
          <t>กรอกเฉพาะช่องพื้นเหลือง (ปริมาณสูตรฐาน / จำนวนชิ้น / ตัวคูณ) — ช่องอื่นเป็นสูตรคำนวณ</t>
        </is>
      </c>
    </row>
    <row r="3">
      <c r="A3" s="16" t="inlineStr">
        <is>
          <t>จำนวนชิ้นที่ได้ต่อสูตรฐาน (ชิ้น)</t>
        </is>
      </c>
      <c r="C3" s="17" t="n">
        <v>20</v>
      </c>
    </row>
    <row r="4">
      <c r="A4" s="16" t="inlineStr">
        <is>
          <t>ต้นทุนวัตถุดิบต่อสูตรฐาน (บาท)</t>
        </is>
      </c>
      <c r="C4" s="18">
        <f>$G$27</f>
        <v/>
      </c>
    </row>
    <row r="5">
      <c r="A5" s="16" t="inlineStr">
        <is>
          <t>ต้นทุนวัตถุดิบต่อชิ้น (บาท)</t>
        </is>
      </c>
      <c r="C5" s="18">
        <f>IFERROR($C$4/$C$3,0)</f>
        <v/>
      </c>
    </row>
    <row r="7">
      <c r="G7" s="19" t="inlineStr">
        <is>
          <t>ตัวคูณรอบผลิต →</t>
        </is>
      </c>
      <c r="H7" s="20" t="n">
        <v>0.5</v>
      </c>
      <c r="I7" s="20" t="n">
        <v>1</v>
      </c>
      <c r="J7" s="20" t="n">
        <v>1.5</v>
      </c>
      <c r="K7" s="20" t="n">
        <v>2</v>
      </c>
      <c r="L7" s="20" t="n">
        <v>2.5</v>
      </c>
      <c r="M7" s="20" t="n">
        <v>3</v>
      </c>
      <c r="N7" s="20" t="n">
        <v>3.5</v>
      </c>
      <c r="O7" s="20" t="n">
        <v>4</v>
      </c>
      <c r="P7" s="20" t="n">
        <v>5</v>
      </c>
    </row>
    <row r="8" ht="34" customHeight="1">
      <c r="A8" s="5" t="inlineStr">
        <is>
          <t>ลำดับ</t>
        </is>
      </c>
      <c r="B8" s="5" t="inlineStr">
        <is>
          <t>วัตถุดิบ</t>
        </is>
      </c>
      <c r="C8" s="5" t="inlineStr">
        <is>
          <t>หน่วย</t>
        </is>
      </c>
      <c r="D8" s="5" t="inlineStr">
        <is>
          <t>ปริมาณสูตรฐาน
(ไข่ 6 ฟอง)</t>
        </is>
      </c>
      <c r="E8" s="5" t="inlineStr">
        <is>
          <t>ต้นทุน/หน่วย
(บาท)</t>
        </is>
      </c>
      <c r="F8" s="5" t="inlineStr">
        <is>
          <t>คิด
ต้นทุน</t>
        </is>
      </c>
      <c r="G8" s="5" t="inlineStr">
        <is>
          <t>ต้นทุนสูตรฐาน
(บาท)</t>
        </is>
      </c>
      <c r="H8" s="5">
        <f>"x"&amp;H$7</f>
        <v/>
      </c>
      <c r="I8" s="5">
        <f>"x"&amp;I$7</f>
        <v/>
      </c>
      <c r="J8" s="5">
        <f>"x"&amp;J$7</f>
        <v/>
      </c>
      <c r="K8" s="5">
        <f>"x"&amp;K$7</f>
        <v/>
      </c>
      <c r="L8" s="5">
        <f>"x"&amp;L$7</f>
        <v/>
      </c>
      <c r="M8" s="5">
        <f>"x"&amp;M$7</f>
        <v/>
      </c>
      <c r="N8" s="5">
        <f>"x"&amp;N$7</f>
        <v/>
      </c>
      <c r="O8" s="5">
        <f>"x"&amp;O$7</f>
        <v/>
      </c>
      <c r="P8" s="5">
        <f>"x"&amp;P$7</f>
        <v/>
      </c>
    </row>
    <row r="9">
      <c r="A9" s="21" t="n">
        <v>1</v>
      </c>
      <c r="B9" s="6" t="inlineStr">
        <is>
          <t>แป้งเค้ก</t>
        </is>
      </c>
      <c r="C9" s="22">
        <f>IFERROR(INDEX('วัตถุดิบ'!$B$4:$B$33,MATCH($B9,'วัตถุดิบ'!$A$4:$A$33,0)),"")</f>
        <v/>
      </c>
      <c r="D9" s="23" t="n">
        <v>250</v>
      </c>
      <c r="E9" s="24">
        <f>IFERROR(INDEX('วัตถุดิบ'!$E$4:$E$33,MATCH($B9,'วัตถุดิบ'!$A$4:$A$33,0)),0)</f>
        <v/>
      </c>
      <c r="F9" s="20" t="inlineStr">
        <is>
          <t>Y</t>
        </is>
      </c>
      <c r="G9" s="25">
        <f>IF($F9="Y",$D9*$E9,0)</f>
        <v/>
      </c>
      <c r="H9" s="26">
        <f>ROUND($D9*H$7,1)</f>
        <v/>
      </c>
      <c r="I9" s="26">
        <f>ROUND($D9*I$7,1)</f>
        <v/>
      </c>
      <c r="J9" s="26">
        <f>ROUND($D9*J$7,1)</f>
        <v/>
      </c>
      <c r="K9" s="26">
        <f>ROUND($D9*K$7,1)</f>
        <v/>
      </c>
      <c r="L9" s="26">
        <f>ROUND($D9*L$7,1)</f>
        <v/>
      </c>
      <c r="M9" s="26">
        <f>ROUND($D9*M$7,1)</f>
        <v/>
      </c>
      <c r="N9" s="26">
        <f>ROUND($D9*N$7,1)</f>
        <v/>
      </c>
      <c r="O9" s="26">
        <f>ROUND($D9*O$7,1)</f>
        <v/>
      </c>
      <c r="P9" s="26">
        <f>ROUND($D9*P$7,1)</f>
        <v/>
      </c>
    </row>
    <row r="10">
      <c r="A10" s="21" t="n">
        <v>2</v>
      </c>
      <c r="B10" s="6" t="n"/>
      <c r="C10" s="22">
        <f>IFERROR(INDEX('วัตถุดิบ'!$B$4:$B$33,MATCH($B10,'วัตถุดิบ'!$A$4:$A$33,0)),"")</f>
        <v/>
      </c>
      <c r="D10" s="23" t="n"/>
      <c r="E10" s="24">
        <f>IFERROR(INDEX('วัตถุดิบ'!$E$4:$E$33,MATCH($B10,'วัตถุดิบ'!$A$4:$A$33,0)),0)</f>
        <v/>
      </c>
      <c r="F10" s="20" t="inlineStr">
        <is>
          <t>Y</t>
        </is>
      </c>
      <c r="G10" s="25">
        <f>IF($F10="Y",$D10*$E10,0)</f>
        <v/>
      </c>
      <c r="H10" s="26">
        <f>ROUND($D10*H$7,1)</f>
        <v/>
      </c>
      <c r="I10" s="26">
        <f>ROUND($D10*I$7,1)</f>
        <v/>
      </c>
      <c r="J10" s="26">
        <f>ROUND($D10*J$7,1)</f>
        <v/>
      </c>
      <c r="K10" s="26">
        <f>ROUND($D10*K$7,1)</f>
        <v/>
      </c>
      <c r="L10" s="26">
        <f>ROUND($D10*L$7,1)</f>
        <v/>
      </c>
      <c r="M10" s="26">
        <f>ROUND($D10*M$7,1)</f>
        <v/>
      </c>
      <c r="N10" s="26">
        <f>ROUND($D10*N$7,1)</f>
        <v/>
      </c>
      <c r="O10" s="26">
        <f>ROUND($D10*O$7,1)</f>
        <v/>
      </c>
      <c r="P10" s="26">
        <f>ROUND($D10*P$7,1)</f>
        <v/>
      </c>
    </row>
    <row r="11">
      <c r="A11" s="21" t="n">
        <v>3</v>
      </c>
      <c r="B11" s="6" t="n"/>
      <c r="C11" s="22">
        <f>IFERROR(INDEX('วัตถุดิบ'!$B$4:$B$33,MATCH($B11,'วัตถุดิบ'!$A$4:$A$33,0)),"")</f>
        <v/>
      </c>
      <c r="D11" s="23" t="n"/>
      <c r="E11" s="24">
        <f>IFERROR(INDEX('วัตถุดิบ'!$E$4:$E$33,MATCH($B11,'วัตถุดิบ'!$A$4:$A$33,0)),0)</f>
        <v/>
      </c>
      <c r="F11" s="20" t="inlineStr">
        <is>
          <t>Y</t>
        </is>
      </c>
      <c r="G11" s="25">
        <f>IF($F11="Y",$D11*$E11,0)</f>
        <v/>
      </c>
      <c r="H11" s="26">
        <f>ROUND($D11*H$7,1)</f>
        <v/>
      </c>
      <c r="I11" s="26">
        <f>ROUND($D11*I$7,1)</f>
        <v/>
      </c>
      <c r="J11" s="26">
        <f>ROUND($D11*J$7,1)</f>
        <v/>
      </c>
      <c r="K11" s="26">
        <f>ROUND($D11*K$7,1)</f>
        <v/>
      </c>
      <c r="L11" s="26">
        <f>ROUND($D11*L$7,1)</f>
        <v/>
      </c>
      <c r="M11" s="26">
        <f>ROUND($D11*M$7,1)</f>
        <v/>
      </c>
      <c r="N11" s="26">
        <f>ROUND($D11*N$7,1)</f>
        <v/>
      </c>
      <c r="O11" s="26">
        <f>ROUND($D11*O$7,1)</f>
        <v/>
      </c>
      <c r="P11" s="26">
        <f>ROUND($D11*P$7,1)</f>
        <v/>
      </c>
    </row>
    <row r="12">
      <c r="A12" s="21" t="n">
        <v>4</v>
      </c>
      <c r="B12" s="6" t="n"/>
      <c r="C12" s="22">
        <f>IFERROR(INDEX('วัตถุดิบ'!$B$4:$B$33,MATCH($B12,'วัตถุดิบ'!$A$4:$A$33,0)),"")</f>
        <v/>
      </c>
      <c r="D12" s="23" t="n"/>
      <c r="E12" s="24">
        <f>IFERROR(INDEX('วัตถุดิบ'!$E$4:$E$33,MATCH($B12,'วัตถุดิบ'!$A$4:$A$33,0)),0)</f>
        <v/>
      </c>
      <c r="F12" s="20" t="inlineStr">
        <is>
          <t>Y</t>
        </is>
      </c>
      <c r="G12" s="25">
        <f>IF($F12="Y",$D12*$E12,0)</f>
        <v/>
      </c>
      <c r="H12" s="26">
        <f>ROUND($D12*H$7,1)</f>
        <v/>
      </c>
      <c r="I12" s="26">
        <f>ROUND($D12*I$7,1)</f>
        <v/>
      </c>
      <c r="J12" s="26">
        <f>ROUND($D12*J$7,1)</f>
        <v/>
      </c>
      <c r="K12" s="26">
        <f>ROUND($D12*K$7,1)</f>
        <v/>
      </c>
      <c r="L12" s="26">
        <f>ROUND($D12*L$7,1)</f>
        <v/>
      </c>
      <c r="M12" s="26">
        <f>ROUND($D12*M$7,1)</f>
        <v/>
      </c>
      <c r="N12" s="26">
        <f>ROUND($D12*N$7,1)</f>
        <v/>
      </c>
      <c r="O12" s="26">
        <f>ROUND($D12*O$7,1)</f>
        <v/>
      </c>
      <c r="P12" s="26">
        <f>ROUND($D12*P$7,1)</f>
        <v/>
      </c>
    </row>
    <row r="13">
      <c r="A13" s="21" t="n">
        <v>5</v>
      </c>
      <c r="B13" s="6" t="n"/>
      <c r="C13" s="22">
        <f>IFERROR(INDEX('วัตถุดิบ'!$B$4:$B$33,MATCH($B13,'วัตถุดิบ'!$A$4:$A$33,0)),"")</f>
        <v/>
      </c>
      <c r="D13" s="23" t="n"/>
      <c r="E13" s="24">
        <f>IFERROR(INDEX('วัตถุดิบ'!$E$4:$E$33,MATCH($B13,'วัตถุดิบ'!$A$4:$A$33,0)),0)</f>
        <v/>
      </c>
      <c r="F13" s="20" t="inlineStr">
        <is>
          <t>Y</t>
        </is>
      </c>
      <c r="G13" s="25">
        <f>IF($F13="Y",$D13*$E13,0)</f>
        <v/>
      </c>
      <c r="H13" s="26">
        <f>ROUND($D13*H$7,1)</f>
        <v/>
      </c>
      <c r="I13" s="26">
        <f>ROUND($D13*I$7,1)</f>
        <v/>
      </c>
      <c r="J13" s="26">
        <f>ROUND($D13*J$7,1)</f>
        <v/>
      </c>
      <c r="K13" s="26">
        <f>ROUND($D13*K$7,1)</f>
        <v/>
      </c>
      <c r="L13" s="26">
        <f>ROUND($D13*L$7,1)</f>
        <v/>
      </c>
      <c r="M13" s="26">
        <f>ROUND($D13*M$7,1)</f>
        <v/>
      </c>
      <c r="N13" s="26">
        <f>ROUND($D13*N$7,1)</f>
        <v/>
      </c>
      <c r="O13" s="26">
        <f>ROUND($D13*O$7,1)</f>
        <v/>
      </c>
      <c r="P13" s="26">
        <f>ROUND($D13*P$7,1)</f>
        <v/>
      </c>
    </row>
    <row r="14">
      <c r="A14" s="21" t="n">
        <v>6</v>
      </c>
      <c r="B14" s="6" t="n"/>
      <c r="C14" s="22">
        <f>IFERROR(INDEX('วัตถุดิบ'!$B$4:$B$33,MATCH($B14,'วัตถุดิบ'!$A$4:$A$33,0)),"")</f>
        <v/>
      </c>
      <c r="D14" s="23" t="n"/>
      <c r="E14" s="24">
        <f>IFERROR(INDEX('วัตถุดิบ'!$E$4:$E$33,MATCH($B14,'วัตถุดิบ'!$A$4:$A$33,0)),0)</f>
        <v/>
      </c>
      <c r="F14" s="20" t="inlineStr">
        <is>
          <t>Y</t>
        </is>
      </c>
      <c r="G14" s="25">
        <f>IF($F14="Y",$D14*$E14,0)</f>
        <v/>
      </c>
      <c r="H14" s="26">
        <f>ROUND($D14*H$7,1)</f>
        <v/>
      </c>
      <c r="I14" s="26">
        <f>ROUND($D14*I$7,1)</f>
        <v/>
      </c>
      <c r="J14" s="26">
        <f>ROUND($D14*J$7,1)</f>
        <v/>
      </c>
      <c r="K14" s="26">
        <f>ROUND($D14*K$7,1)</f>
        <v/>
      </c>
      <c r="L14" s="26">
        <f>ROUND($D14*L$7,1)</f>
        <v/>
      </c>
      <c r="M14" s="26">
        <f>ROUND($D14*M$7,1)</f>
        <v/>
      </c>
      <c r="N14" s="26">
        <f>ROUND($D14*N$7,1)</f>
        <v/>
      </c>
      <c r="O14" s="26">
        <f>ROUND($D14*O$7,1)</f>
        <v/>
      </c>
      <c r="P14" s="26">
        <f>ROUND($D14*P$7,1)</f>
        <v/>
      </c>
    </row>
    <row r="15">
      <c r="A15" s="21" t="n">
        <v>7</v>
      </c>
      <c r="B15" s="6" t="n"/>
      <c r="C15" s="22">
        <f>IFERROR(INDEX('วัตถุดิบ'!$B$4:$B$33,MATCH($B15,'วัตถุดิบ'!$A$4:$A$33,0)),"")</f>
        <v/>
      </c>
      <c r="D15" s="23" t="n"/>
      <c r="E15" s="24">
        <f>IFERROR(INDEX('วัตถุดิบ'!$E$4:$E$33,MATCH($B15,'วัตถุดิบ'!$A$4:$A$33,0)),0)</f>
        <v/>
      </c>
      <c r="F15" s="20" t="inlineStr">
        <is>
          <t>Y</t>
        </is>
      </c>
      <c r="G15" s="25">
        <f>IF($F15="Y",$D15*$E15,0)</f>
        <v/>
      </c>
      <c r="H15" s="26">
        <f>ROUND($D15*H$7,1)</f>
        <v/>
      </c>
      <c r="I15" s="26">
        <f>ROUND($D15*I$7,1)</f>
        <v/>
      </c>
      <c r="J15" s="26">
        <f>ROUND($D15*J$7,1)</f>
        <v/>
      </c>
      <c r="K15" s="26">
        <f>ROUND($D15*K$7,1)</f>
        <v/>
      </c>
      <c r="L15" s="26">
        <f>ROUND($D15*L$7,1)</f>
        <v/>
      </c>
      <c r="M15" s="26">
        <f>ROUND($D15*M$7,1)</f>
        <v/>
      </c>
      <c r="N15" s="26">
        <f>ROUND($D15*N$7,1)</f>
        <v/>
      </c>
      <c r="O15" s="26">
        <f>ROUND($D15*O$7,1)</f>
        <v/>
      </c>
      <c r="P15" s="26">
        <f>ROUND($D15*P$7,1)</f>
        <v/>
      </c>
    </row>
    <row r="16">
      <c r="A16" s="21" t="n">
        <v>8</v>
      </c>
      <c r="B16" s="6" t="n"/>
      <c r="C16" s="22">
        <f>IFERROR(INDEX('วัตถุดิบ'!$B$4:$B$33,MATCH($B16,'วัตถุดิบ'!$A$4:$A$33,0)),"")</f>
        <v/>
      </c>
      <c r="D16" s="23" t="n"/>
      <c r="E16" s="24">
        <f>IFERROR(INDEX('วัตถุดิบ'!$E$4:$E$33,MATCH($B16,'วัตถุดิบ'!$A$4:$A$33,0)),0)</f>
        <v/>
      </c>
      <c r="F16" s="20" t="inlineStr">
        <is>
          <t>Y</t>
        </is>
      </c>
      <c r="G16" s="25">
        <f>IF($F16="Y",$D16*$E16,0)</f>
        <v/>
      </c>
      <c r="H16" s="26">
        <f>ROUND($D16*H$7,1)</f>
        <v/>
      </c>
      <c r="I16" s="26">
        <f>ROUND($D16*I$7,1)</f>
        <v/>
      </c>
      <c r="J16" s="26">
        <f>ROUND($D16*J$7,1)</f>
        <v/>
      </c>
      <c r="K16" s="26">
        <f>ROUND($D16*K$7,1)</f>
        <v/>
      </c>
      <c r="L16" s="26">
        <f>ROUND($D16*L$7,1)</f>
        <v/>
      </c>
      <c r="M16" s="26">
        <f>ROUND($D16*M$7,1)</f>
        <v/>
      </c>
      <c r="N16" s="26">
        <f>ROUND($D16*N$7,1)</f>
        <v/>
      </c>
      <c r="O16" s="26">
        <f>ROUND($D16*O$7,1)</f>
        <v/>
      </c>
      <c r="P16" s="26">
        <f>ROUND($D16*P$7,1)</f>
        <v/>
      </c>
    </row>
    <row r="17">
      <c r="A17" s="21" t="n">
        <v>9</v>
      </c>
      <c r="B17" s="6" t="n"/>
      <c r="C17" s="22">
        <f>IFERROR(INDEX('วัตถุดิบ'!$B$4:$B$33,MATCH($B17,'วัตถุดิบ'!$A$4:$A$33,0)),"")</f>
        <v/>
      </c>
      <c r="D17" s="23" t="n"/>
      <c r="E17" s="24">
        <f>IFERROR(INDEX('วัตถุดิบ'!$E$4:$E$33,MATCH($B17,'วัตถุดิบ'!$A$4:$A$33,0)),0)</f>
        <v/>
      </c>
      <c r="F17" s="20" t="inlineStr">
        <is>
          <t>Y</t>
        </is>
      </c>
      <c r="G17" s="25">
        <f>IF($F17="Y",$D17*$E17,0)</f>
        <v/>
      </c>
      <c r="H17" s="26">
        <f>ROUND($D17*H$7,1)</f>
        <v/>
      </c>
      <c r="I17" s="26">
        <f>ROUND($D17*I$7,1)</f>
        <v/>
      </c>
      <c r="J17" s="26">
        <f>ROUND($D17*J$7,1)</f>
        <v/>
      </c>
      <c r="K17" s="26">
        <f>ROUND($D17*K$7,1)</f>
        <v/>
      </c>
      <c r="L17" s="26">
        <f>ROUND($D17*L$7,1)</f>
        <v/>
      </c>
      <c r="M17" s="26">
        <f>ROUND($D17*M$7,1)</f>
        <v/>
      </c>
      <c r="N17" s="26">
        <f>ROUND($D17*N$7,1)</f>
        <v/>
      </c>
      <c r="O17" s="26">
        <f>ROUND($D17*O$7,1)</f>
        <v/>
      </c>
      <c r="P17" s="26">
        <f>ROUND($D17*P$7,1)</f>
        <v/>
      </c>
    </row>
    <row r="18">
      <c r="A18" s="21" t="n">
        <v>10</v>
      </c>
      <c r="B18" s="6" t="n"/>
      <c r="C18" s="22">
        <f>IFERROR(INDEX('วัตถุดิบ'!$B$4:$B$33,MATCH($B18,'วัตถุดิบ'!$A$4:$A$33,0)),"")</f>
        <v/>
      </c>
      <c r="D18" s="23" t="n"/>
      <c r="E18" s="24">
        <f>IFERROR(INDEX('วัตถุดิบ'!$E$4:$E$33,MATCH($B18,'วัตถุดิบ'!$A$4:$A$33,0)),0)</f>
        <v/>
      </c>
      <c r="F18" s="20" t="inlineStr">
        <is>
          <t>Y</t>
        </is>
      </c>
      <c r="G18" s="25">
        <f>IF($F18="Y",$D18*$E18,0)</f>
        <v/>
      </c>
      <c r="H18" s="26">
        <f>ROUND($D18*H$7,1)</f>
        <v/>
      </c>
      <c r="I18" s="26">
        <f>ROUND($D18*I$7,1)</f>
        <v/>
      </c>
      <c r="J18" s="26">
        <f>ROUND($D18*J$7,1)</f>
        <v/>
      </c>
      <c r="K18" s="26">
        <f>ROUND($D18*K$7,1)</f>
        <v/>
      </c>
      <c r="L18" s="26">
        <f>ROUND($D18*L$7,1)</f>
        <v/>
      </c>
      <c r="M18" s="26">
        <f>ROUND($D18*M$7,1)</f>
        <v/>
      </c>
      <c r="N18" s="26">
        <f>ROUND($D18*N$7,1)</f>
        <v/>
      </c>
      <c r="O18" s="26">
        <f>ROUND($D18*O$7,1)</f>
        <v/>
      </c>
      <c r="P18" s="26">
        <f>ROUND($D18*P$7,1)</f>
        <v/>
      </c>
    </row>
    <row r="19">
      <c r="A19" s="21" t="n">
        <v>11</v>
      </c>
      <c r="B19" s="6" t="n"/>
      <c r="C19" s="22">
        <f>IFERROR(INDEX('วัตถุดิบ'!$B$4:$B$33,MATCH($B19,'วัตถุดิบ'!$A$4:$A$33,0)),"")</f>
        <v/>
      </c>
      <c r="D19" s="23" t="n"/>
      <c r="E19" s="24">
        <f>IFERROR(INDEX('วัตถุดิบ'!$E$4:$E$33,MATCH($B19,'วัตถุดิบ'!$A$4:$A$33,0)),0)</f>
        <v/>
      </c>
      <c r="F19" s="20" t="inlineStr">
        <is>
          <t>Y</t>
        </is>
      </c>
      <c r="G19" s="25">
        <f>IF($F19="Y",$D19*$E19,0)</f>
        <v/>
      </c>
      <c r="H19" s="26">
        <f>ROUND($D19*H$7,1)</f>
        <v/>
      </c>
      <c r="I19" s="26">
        <f>ROUND($D19*I$7,1)</f>
        <v/>
      </c>
      <c r="J19" s="26">
        <f>ROUND($D19*J$7,1)</f>
        <v/>
      </c>
      <c r="K19" s="26">
        <f>ROUND($D19*K$7,1)</f>
        <v/>
      </c>
      <c r="L19" s="26">
        <f>ROUND($D19*L$7,1)</f>
        <v/>
      </c>
      <c r="M19" s="26">
        <f>ROUND($D19*M$7,1)</f>
        <v/>
      </c>
      <c r="N19" s="26">
        <f>ROUND($D19*N$7,1)</f>
        <v/>
      </c>
      <c r="O19" s="26">
        <f>ROUND($D19*O$7,1)</f>
        <v/>
      </c>
      <c r="P19" s="26">
        <f>ROUND($D19*P$7,1)</f>
        <v/>
      </c>
    </row>
    <row r="20">
      <c r="A20" s="21" t="n">
        <v>12</v>
      </c>
      <c r="B20" s="6" t="n"/>
      <c r="C20" s="22">
        <f>IFERROR(INDEX('วัตถุดิบ'!$B$4:$B$33,MATCH($B20,'วัตถุดิบ'!$A$4:$A$33,0)),"")</f>
        <v/>
      </c>
      <c r="D20" s="23" t="n"/>
      <c r="E20" s="24">
        <f>IFERROR(INDEX('วัตถุดิบ'!$E$4:$E$33,MATCH($B20,'วัตถุดิบ'!$A$4:$A$33,0)),0)</f>
        <v/>
      </c>
      <c r="F20" s="20" t="inlineStr">
        <is>
          <t>Y</t>
        </is>
      </c>
      <c r="G20" s="25">
        <f>IF($F20="Y",$D20*$E20,0)</f>
        <v/>
      </c>
      <c r="H20" s="26">
        <f>ROUND($D20*H$7,1)</f>
        <v/>
      </c>
      <c r="I20" s="26">
        <f>ROUND($D20*I$7,1)</f>
        <v/>
      </c>
      <c r="J20" s="26">
        <f>ROUND($D20*J$7,1)</f>
        <v/>
      </c>
      <c r="K20" s="26">
        <f>ROUND($D20*K$7,1)</f>
        <v/>
      </c>
      <c r="L20" s="26">
        <f>ROUND($D20*L$7,1)</f>
        <v/>
      </c>
      <c r="M20" s="26">
        <f>ROUND($D20*M$7,1)</f>
        <v/>
      </c>
      <c r="N20" s="26">
        <f>ROUND($D20*N$7,1)</f>
        <v/>
      </c>
      <c r="O20" s="26">
        <f>ROUND($D20*O$7,1)</f>
        <v/>
      </c>
      <c r="P20" s="26">
        <f>ROUND($D20*P$7,1)</f>
        <v/>
      </c>
    </row>
    <row r="21">
      <c r="A21" s="21" t="n">
        <v>13</v>
      </c>
      <c r="B21" s="6" t="n"/>
      <c r="C21" s="22">
        <f>IFERROR(INDEX('วัตถุดิบ'!$B$4:$B$33,MATCH($B21,'วัตถุดิบ'!$A$4:$A$33,0)),"")</f>
        <v/>
      </c>
      <c r="D21" s="23" t="n"/>
      <c r="E21" s="24">
        <f>IFERROR(INDEX('วัตถุดิบ'!$E$4:$E$33,MATCH($B21,'วัตถุดิบ'!$A$4:$A$33,0)),0)</f>
        <v/>
      </c>
      <c r="F21" s="20" t="inlineStr">
        <is>
          <t>Y</t>
        </is>
      </c>
      <c r="G21" s="25">
        <f>IF($F21="Y",$D21*$E21,0)</f>
        <v/>
      </c>
      <c r="H21" s="26">
        <f>ROUND($D21*H$7,1)</f>
        <v/>
      </c>
      <c r="I21" s="26">
        <f>ROUND($D21*I$7,1)</f>
        <v/>
      </c>
      <c r="J21" s="26">
        <f>ROUND($D21*J$7,1)</f>
        <v/>
      </c>
      <c r="K21" s="26">
        <f>ROUND($D21*K$7,1)</f>
        <v/>
      </c>
      <c r="L21" s="26">
        <f>ROUND($D21*L$7,1)</f>
        <v/>
      </c>
      <c r="M21" s="26">
        <f>ROUND($D21*M$7,1)</f>
        <v/>
      </c>
      <c r="N21" s="26">
        <f>ROUND($D21*N$7,1)</f>
        <v/>
      </c>
      <c r="O21" s="26">
        <f>ROUND($D21*O$7,1)</f>
        <v/>
      </c>
      <c r="P21" s="26">
        <f>ROUND($D21*P$7,1)</f>
        <v/>
      </c>
    </row>
    <row r="22">
      <c r="A22" s="21" t="n">
        <v>14</v>
      </c>
      <c r="B22" s="6" t="n"/>
      <c r="C22" s="22">
        <f>IFERROR(INDEX('วัตถุดิบ'!$B$4:$B$33,MATCH($B22,'วัตถุดิบ'!$A$4:$A$33,0)),"")</f>
        <v/>
      </c>
      <c r="D22" s="23" t="n"/>
      <c r="E22" s="24">
        <f>IFERROR(INDEX('วัตถุดิบ'!$E$4:$E$33,MATCH($B22,'วัตถุดิบ'!$A$4:$A$33,0)),0)</f>
        <v/>
      </c>
      <c r="F22" s="20" t="inlineStr">
        <is>
          <t>Y</t>
        </is>
      </c>
      <c r="G22" s="25">
        <f>IF($F22="Y",$D22*$E22,0)</f>
        <v/>
      </c>
      <c r="H22" s="26">
        <f>ROUND($D22*H$7,1)</f>
        <v/>
      </c>
      <c r="I22" s="26">
        <f>ROUND($D22*I$7,1)</f>
        <v/>
      </c>
      <c r="J22" s="26">
        <f>ROUND($D22*J$7,1)</f>
        <v/>
      </c>
      <c r="K22" s="26">
        <f>ROUND($D22*K$7,1)</f>
        <v/>
      </c>
      <c r="L22" s="26">
        <f>ROUND($D22*L$7,1)</f>
        <v/>
      </c>
      <c r="M22" s="26">
        <f>ROUND($D22*M$7,1)</f>
        <v/>
      </c>
      <c r="N22" s="26">
        <f>ROUND($D22*N$7,1)</f>
        <v/>
      </c>
      <c r="O22" s="26">
        <f>ROUND($D22*O$7,1)</f>
        <v/>
      </c>
      <c r="P22" s="26">
        <f>ROUND($D22*P$7,1)</f>
        <v/>
      </c>
    </row>
    <row r="23">
      <c r="A23" s="21" t="n">
        <v>15</v>
      </c>
      <c r="B23" s="6" t="n"/>
      <c r="C23" s="22">
        <f>IFERROR(INDEX('วัตถุดิบ'!$B$4:$B$33,MATCH($B23,'วัตถุดิบ'!$A$4:$A$33,0)),"")</f>
        <v/>
      </c>
      <c r="D23" s="23" t="n"/>
      <c r="E23" s="24">
        <f>IFERROR(INDEX('วัตถุดิบ'!$E$4:$E$33,MATCH($B23,'วัตถุดิบ'!$A$4:$A$33,0)),0)</f>
        <v/>
      </c>
      <c r="F23" s="20" t="inlineStr">
        <is>
          <t>Y</t>
        </is>
      </c>
      <c r="G23" s="25">
        <f>IF($F23="Y",$D23*$E23,0)</f>
        <v/>
      </c>
      <c r="H23" s="26">
        <f>ROUND($D23*H$7,1)</f>
        <v/>
      </c>
      <c r="I23" s="26">
        <f>ROUND($D23*I$7,1)</f>
        <v/>
      </c>
      <c r="J23" s="26">
        <f>ROUND($D23*J$7,1)</f>
        <v/>
      </c>
      <c r="K23" s="26">
        <f>ROUND($D23*K$7,1)</f>
        <v/>
      </c>
      <c r="L23" s="26">
        <f>ROUND($D23*L$7,1)</f>
        <v/>
      </c>
      <c r="M23" s="26">
        <f>ROUND($D23*M$7,1)</f>
        <v/>
      </c>
      <c r="N23" s="26">
        <f>ROUND($D23*N$7,1)</f>
        <v/>
      </c>
      <c r="O23" s="26">
        <f>ROUND($D23*O$7,1)</f>
        <v/>
      </c>
      <c r="P23" s="26">
        <f>ROUND($D23*P$7,1)</f>
        <v/>
      </c>
    </row>
    <row r="24">
      <c r="A24" s="21" t="n">
        <v>16</v>
      </c>
      <c r="B24" s="6" t="n"/>
      <c r="C24" s="22">
        <f>IFERROR(INDEX('วัตถุดิบ'!$B$4:$B$33,MATCH($B24,'วัตถุดิบ'!$A$4:$A$33,0)),"")</f>
        <v/>
      </c>
      <c r="D24" s="23" t="n"/>
      <c r="E24" s="24">
        <f>IFERROR(INDEX('วัตถุดิบ'!$E$4:$E$33,MATCH($B24,'วัตถุดิบ'!$A$4:$A$33,0)),0)</f>
        <v/>
      </c>
      <c r="F24" s="20" t="inlineStr">
        <is>
          <t>Y</t>
        </is>
      </c>
      <c r="G24" s="25">
        <f>IF($F24="Y",$D24*$E24,0)</f>
        <v/>
      </c>
      <c r="H24" s="26">
        <f>ROUND($D24*H$7,1)</f>
        <v/>
      </c>
      <c r="I24" s="26">
        <f>ROUND($D24*I$7,1)</f>
        <v/>
      </c>
      <c r="J24" s="26">
        <f>ROUND($D24*J$7,1)</f>
        <v/>
      </c>
      <c r="K24" s="26">
        <f>ROUND($D24*K$7,1)</f>
        <v/>
      </c>
      <c r="L24" s="26">
        <f>ROUND($D24*L$7,1)</f>
        <v/>
      </c>
      <c r="M24" s="26">
        <f>ROUND($D24*M$7,1)</f>
        <v/>
      </c>
      <c r="N24" s="26">
        <f>ROUND($D24*N$7,1)</f>
        <v/>
      </c>
      <c r="O24" s="26">
        <f>ROUND($D24*O$7,1)</f>
        <v/>
      </c>
      <c r="P24" s="26">
        <f>ROUND($D24*P$7,1)</f>
        <v/>
      </c>
    </row>
    <row r="25">
      <c r="A25" s="21" t="n">
        <v>17</v>
      </c>
      <c r="B25" s="6" t="n"/>
      <c r="C25" s="22">
        <f>IFERROR(INDEX('วัตถุดิบ'!$B$4:$B$33,MATCH($B25,'วัตถุดิบ'!$A$4:$A$33,0)),"")</f>
        <v/>
      </c>
      <c r="D25" s="23" t="n"/>
      <c r="E25" s="24">
        <f>IFERROR(INDEX('วัตถุดิบ'!$E$4:$E$33,MATCH($B25,'วัตถุดิบ'!$A$4:$A$33,0)),0)</f>
        <v/>
      </c>
      <c r="F25" s="20" t="inlineStr">
        <is>
          <t>Y</t>
        </is>
      </c>
      <c r="G25" s="25">
        <f>IF($F25="Y",$D25*$E25,0)</f>
        <v/>
      </c>
      <c r="H25" s="26">
        <f>ROUND($D25*H$7,1)</f>
        <v/>
      </c>
      <c r="I25" s="26">
        <f>ROUND($D25*I$7,1)</f>
        <v/>
      </c>
      <c r="J25" s="26">
        <f>ROUND($D25*J$7,1)</f>
        <v/>
      </c>
      <c r="K25" s="26">
        <f>ROUND($D25*K$7,1)</f>
        <v/>
      </c>
      <c r="L25" s="26">
        <f>ROUND($D25*L$7,1)</f>
        <v/>
      </c>
      <c r="M25" s="26">
        <f>ROUND($D25*M$7,1)</f>
        <v/>
      </c>
      <c r="N25" s="26">
        <f>ROUND($D25*N$7,1)</f>
        <v/>
      </c>
      <c r="O25" s="26">
        <f>ROUND($D25*O$7,1)</f>
        <v/>
      </c>
      <c r="P25" s="26">
        <f>ROUND($D25*P$7,1)</f>
        <v/>
      </c>
    </row>
    <row r="26">
      <c r="A26" s="21" t="n">
        <v>18</v>
      </c>
      <c r="B26" s="6" t="n"/>
      <c r="C26" s="22">
        <f>IFERROR(INDEX('วัตถุดิบ'!$B$4:$B$33,MATCH($B26,'วัตถุดิบ'!$A$4:$A$33,0)),"")</f>
        <v/>
      </c>
      <c r="D26" s="23" t="n"/>
      <c r="E26" s="24">
        <f>IFERROR(INDEX('วัตถุดิบ'!$E$4:$E$33,MATCH($B26,'วัตถุดิบ'!$A$4:$A$33,0)),0)</f>
        <v/>
      </c>
      <c r="F26" s="20" t="inlineStr">
        <is>
          <t>Y</t>
        </is>
      </c>
      <c r="G26" s="25">
        <f>IF($F26="Y",$D26*$E26,0)</f>
        <v/>
      </c>
      <c r="H26" s="26">
        <f>ROUND($D26*H$7,1)</f>
        <v/>
      </c>
      <c r="I26" s="26">
        <f>ROUND($D26*I$7,1)</f>
        <v/>
      </c>
      <c r="J26" s="26">
        <f>ROUND($D26*J$7,1)</f>
        <v/>
      </c>
      <c r="K26" s="26">
        <f>ROUND($D26*K$7,1)</f>
        <v/>
      </c>
      <c r="L26" s="26">
        <f>ROUND($D26*L$7,1)</f>
        <v/>
      </c>
      <c r="M26" s="26">
        <f>ROUND($D26*M$7,1)</f>
        <v/>
      </c>
      <c r="N26" s="26">
        <f>ROUND($D26*N$7,1)</f>
        <v/>
      </c>
      <c r="O26" s="26">
        <f>ROUND($D26*O$7,1)</f>
        <v/>
      </c>
      <c r="P26" s="26">
        <f>ROUND($D26*P$7,1)</f>
        <v/>
      </c>
    </row>
    <row r="27">
      <c r="A27" s="27" t="n"/>
      <c r="B27" s="28" t="inlineStr">
        <is>
          <t>รวมต้นทุนวัตถุดิบ (บาท)</t>
        </is>
      </c>
      <c r="C27" s="27" t="n"/>
      <c r="D27" s="27" t="n"/>
      <c r="E27" s="27" t="n"/>
      <c r="F27" s="27" t="n"/>
      <c r="G27" s="29">
        <f>SUM(G9:G26)</f>
        <v/>
      </c>
      <c r="H27" s="29">
        <f>SUMPRODUCT(($F$9:$F$26="Y")*$E$9:$E$26*H$9:H$26)</f>
        <v/>
      </c>
      <c r="I27" s="29">
        <f>SUMPRODUCT(($F$9:$F$26="Y")*$E$9:$E$26*I$9:I$26)</f>
        <v/>
      </c>
      <c r="J27" s="29">
        <f>SUMPRODUCT(($F$9:$F$26="Y")*$E$9:$E$26*J$9:J$26)</f>
        <v/>
      </c>
      <c r="K27" s="29">
        <f>SUMPRODUCT(($F$9:$F$26="Y")*$E$9:$E$26*K$9:K$26)</f>
        <v/>
      </c>
      <c r="L27" s="29">
        <f>SUMPRODUCT(($F$9:$F$26="Y")*$E$9:$E$26*L$9:L$26)</f>
        <v/>
      </c>
      <c r="M27" s="29">
        <f>SUMPRODUCT(($F$9:$F$26="Y")*$E$9:$E$26*M$9:M$26)</f>
        <v/>
      </c>
      <c r="N27" s="29">
        <f>SUMPRODUCT(($F$9:$F$26="Y")*$E$9:$E$26*N$9:N$26)</f>
        <v/>
      </c>
      <c r="O27" s="29">
        <f>SUMPRODUCT(($F$9:$F$26="Y")*$E$9:$E$26*O$9:O$26)</f>
        <v/>
      </c>
      <c r="P27" s="29">
        <f>SUMPRODUCT(($F$9:$F$26="Y")*$E$9:$E$26*P$9:P$26)</f>
        <v/>
      </c>
    </row>
    <row r="28">
      <c r="A28" s="30" t="n"/>
      <c r="B28" s="31" t="inlineStr">
        <is>
          <t>จำนวนชิ้นที่ได้ (ชิ้น)</t>
        </is>
      </c>
      <c r="C28" s="30" t="n"/>
      <c r="D28" s="30" t="n"/>
      <c r="E28" s="30" t="n"/>
      <c r="F28" s="30" t="n"/>
      <c r="G28" s="32">
        <f>$C$3</f>
        <v/>
      </c>
      <c r="H28" s="33">
        <f>ROUND($C$3*H$7,0)</f>
        <v/>
      </c>
      <c r="I28" s="33">
        <f>ROUND($C$3*I$7,0)</f>
        <v/>
      </c>
      <c r="J28" s="33">
        <f>ROUND($C$3*J$7,0)</f>
        <v/>
      </c>
      <c r="K28" s="33">
        <f>ROUND($C$3*K$7,0)</f>
        <v/>
      </c>
      <c r="L28" s="33">
        <f>ROUND($C$3*L$7,0)</f>
        <v/>
      </c>
      <c r="M28" s="33">
        <f>ROUND($C$3*M$7,0)</f>
        <v/>
      </c>
      <c r="N28" s="33">
        <f>ROUND($C$3*N$7,0)</f>
        <v/>
      </c>
      <c r="O28" s="33">
        <f>ROUND($C$3*O$7,0)</f>
        <v/>
      </c>
      <c r="P28" s="33">
        <f>ROUND($C$3*P$7,0)</f>
        <v/>
      </c>
    </row>
    <row r="29">
      <c r="A29" s="27" t="n"/>
      <c r="B29" s="28" t="inlineStr">
        <is>
          <t>ต้นทุนวัตถุดิบต่อชิ้น (บาท)</t>
        </is>
      </c>
      <c r="C29" s="27" t="n"/>
      <c r="D29" s="27" t="n"/>
      <c r="E29" s="27" t="n"/>
      <c r="F29" s="27" t="n"/>
      <c r="G29" s="29">
        <f>IFERROR(G27/G28,0)</f>
        <v/>
      </c>
      <c r="H29" s="29">
        <f>IFERROR(H27/H28,0)</f>
        <v/>
      </c>
      <c r="I29" s="29">
        <f>IFERROR(I27/I28,0)</f>
        <v/>
      </c>
      <c r="J29" s="29">
        <f>IFERROR(J27/J28,0)</f>
        <v/>
      </c>
      <c r="K29" s="29">
        <f>IFERROR(K27/K28,0)</f>
        <v/>
      </c>
      <c r="L29" s="29">
        <f>IFERROR(L27/L28,0)</f>
        <v/>
      </c>
      <c r="M29" s="29">
        <f>IFERROR(M27/M28,0)</f>
        <v/>
      </c>
      <c r="N29" s="29">
        <f>IFERROR(N27/N28,0)</f>
        <v/>
      </c>
      <c r="O29" s="29">
        <f>IFERROR(O27/O28,0)</f>
        <v/>
      </c>
      <c r="P29" s="29">
        <f>IFERROR(P27/P28,0)</f>
        <v/>
      </c>
    </row>
    <row r="31">
      <c r="A31" s="4" t="inlineStr">
        <is>
          <t>แถวที่ 1 เป็นตัวอย่างการกรอก (ลบทิ้งได้) — เลือกชื่อวัตถุดิบจากดรอปดาวน์ในคอลัมน์ B แล้วพิมพ์ปริมาณในคอลัมน์ D เท่านั้น</t>
        </is>
      </c>
    </row>
  </sheetData>
  <mergeCells count="1">
    <mergeCell ref="A1:P1"/>
  </mergeCells>
  <dataValidations count="2">
    <dataValidation sqref="B9:B26" showDropDown="0" showInputMessage="0" showErrorMessage="0" allowBlank="1" errorTitle="ไม่พบวัตถุดิบนี้" error="กรุณาเลือกชื่อวัตถุดิบจากชีต 'วัตถุดิบ'" type="list">
      <formula1>='วัตถุดิบ'!$A$4:$A$33</formula1>
    </dataValidation>
    <dataValidation sqref="F9:F26" showDropDown="0" showInputMessage="0" showErrorMessage="0" allowBlank="0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2026-08-10T09:52:19Z</dcterms:created>
  <dcterms:modified xsi:type="dcterms:W3CDTF">2026-08-10T09:52:19Z</dcterms:modified>
</cp:coreProperties>
</file>